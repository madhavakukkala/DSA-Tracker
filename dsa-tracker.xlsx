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ogle Sheets Setup" sheetId="1" state="visible" r:id="rId3"/>
    <sheet name="Read Me" sheetId="2" state="visible" r:id="rId4"/>
    <sheet name="Problem Log" sheetId="3" state="visible" r:id="rId5"/>
    <sheet name="Revision Today" sheetId="4" state="visible" r:id="rId6"/>
    <sheet name="Revision Dashboard" sheetId="5" state="visible" r:id="rId7"/>
    <sheet name="32-Week Plan" sheetId="6" state="visible" r:id="rId8"/>
    <sheet name="Striver Checklist" sheetId="7" state="visible" r:id="rId9"/>
    <sheet name="Daily Log" sheetId="8" state="visible" r:id="rId10"/>
    <sheet name="Applications" sheetId="9" state="visible" r:id="rId11"/>
    <sheet name="Course Checklist" sheetId="10" state="visible" r:id="rId12"/>
  </sheets>
  <definedNames>
    <definedName function="false" hidden="true" localSheetId="8" name="_xlnm._FilterDatabase" vbProcedure="false">Applications!$A$2:$I$202</definedName>
    <definedName function="false" hidden="true" localSheetId="9" name="_xlnm._FilterDatabase" vbProcedure="false">'Course Checklist'!$A$2:$G$79</definedName>
    <definedName function="false" hidden="true" localSheetId="7" name="_xlnm._FilterDatabase" vbProcedure="false">'Daily Log'!$A$2:$J$300</definedName>
    <definedName function="false" hidden="true" localSheetId="2" name="_xlnm._FilterDatabase" vbProcedure="false">'Problem Log'!$A$2:$U$800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<sst xmlns="http://schemas.openxmlformats.org/spreadsheetml/2006/main" count="715" uniqueCount="460">
  <si>
    <t xml:space="preserve">Open this in Google Sheets</t>
  </si>
  <si>
    <t xml:space="preserve">Two minutes. Step 1 is required, step 2 is optional but worth doing.</t>
  </si>
  <si>
    <t xml:space="preserve">Step 1 - import (required)</t>
  </si>
  <si>
    <t xml:space="preserve">•</t>
  </si>
  <si>
    <t xml:space="preserve">Go to drive.google.com and drag this .xlsx file into the window.</t>
  </si>
  <si>
    <t xml:space="preserve">Once it uploads, double-click it, then choose Open with &gt; Google Sheets.</t>
  </si>
  <si>
    <t xml:space="preserve">File &gt; Save as Google Sheets. You now have a native Google Sheet. Delete the .xlsx copy so you only ever edit one.</t>
  </si>
  <si>
    <t xml:space="preserve">Every formula in this workbook uses functions Google Sheets supports with identical syntax - IF, COUNTIF, INDEX, MATCH, IFERROR, TODAY, AND, OR, SUM, AVERAGE, TEXT. Nothing needs rewriting. Dropdowns and the red/green highlighting come across too.</t>
  </si>
  <si>
    <t xml:space="preserve">Step 2 - upgrade the Revision Today sheet (optional, 30 seconds)</t>
  </si>
  <si>
    <t xml:space="preserve">Excel cannot spill one formula down a whole column, so Revision Today is built from 360 separate lookups and stops at 60 rows. Google Sheets can do the same job with a single QUERY, with no row limit, sorted so the most overdue problem is always at the top. If you skip this, the sheet still works - it just caps at 60.</t>
  </si>
  <si>
    <t xml:space="preserve">Open the Revision Today sheet. Select A4:G63 and press Delete. Leave column H alone.</t>
  </si>
  <si>
    <t xml:space="preserve">Click cell A4 and paste this:</t>
  </si>
  <si>
    <t xml:space="preserve">=IFERROR(ARRAYFORMULA(IF(B4:B="","",ROW(B4:B)-3)),"")</t>
  </si>
  <si>
    <t xml:space="preserve">Click cell B4 and paste this:</t>
  </si>
  <si>
    <t xml:space="preserve">=IFERROR(QUERY('Problem Log'!A3:V800, "select F, D, B, G, K, T where S = 'DUE' order by B", 0),"")</t>
  </si>
  <si>
    <t xml:space="preserve">Done. The list now fills itself, oldest-solved first, however long it gets.</t>
  </si>
  <si>
    <t xml:space="preserve">The IFERROR wrapper is not optional. Until you have logged problems that are actually due, the QUERY matches no rows, and Google Sheets treats an empty result as an error rather than as blank. Wrapped, the sheet just stays empty until there is something to revise - which is what you want on day one. Nothing else in the workbook reads from this sheet, so a mistake here cannot damage your data.</t>
  </si>
  <si>
    <t xml:space="preserve">What not to touch</t>
  </si>
  <si>
    <t xml:space="preserve">Grey cells are formulas. Yellow cells are yours to type in. Column V of the Problem Log is hidden on purpose - it numbers the due problems so Revision Today can find them. If you do step 2 above, column V stops being needed, but leave it there anyway.</t>
  </si>
  <si>
    <t xml:space="preserve">One habit that makes or breaks this</t>
  </si>
  <si>
    <t xml:space="preserve">Log every problem the same morning you solve it. The revision dates are calculated from the date you type in column B, so a problem you forget to log is a problem you will never revise. Ten seconds a problem, at 9:20am, before you close the laptop.</t>
  </si>
  <si>
    <t xml:space="preserve">DSA + Development Tracker</t>
  </si>
  <si>
    <t xml:space="preserve">3 Aug 2026 → 14 Mar 2027 · 32 weeks · 1,344 hours · Striver A2Z in Python</t>
  </si>
  <si>
    <t xml:space="preserve">Your daily shape</t>
  </si>
  <si>
    <t xml:space="preserve">06:30 – 06:50</t>
  </si>
  <si>
    <t xml:space="preserve">Revision queue. Open the Revision Today sheet and clear it (day 2 / day 5 / day 10).</t>
  </si>
  <si>
    <t xml:space="preserve">06:50 – 07:50</t>
  </si>
  <si>
    <t xml:space="preserve">Learn. Striver's video or article for today's topic. Notes in your own words, not copied.</t>
  </si>
  <si>
    <t xml:space="preserve">07:50 – 09:20</t>
  </si>
  <si>
    <t xml:space="preserve">Practise. 2-3 new problems. Attempt for 25 min before any hint.</t>
  </si>
  <si>
    <t xml:space="preserve">09:20 – 09:30</t>
  </si>
  <si>
    <t xml:space="preserve">Log. Every problem goes in the Problem Log. This is what builds your revision queue.</t>
  </si>
  <si>
    <t xml:space="preserve">21:00 – 23:45</t>
  </si>
  <si>
    <t xml:space="preserve">Development. Weeks 1-8 your own HTML/CSS/JS sources. Weeks 9-14 Namaste React. Weeks 15-20 Namaste Node. Week 21+ interview prep.</t>
  </si>
  <si>
    <t xml:space="preserve">23:45 – 00:00</t>
  </si>
  <si>
    <t xml:space="preserve">Commit your code. Write tomorrow's first task on paper.</t>
  </si>
  <si>
    <t xml:space="preserve">Sunday</t>
  </si>
  <si>
    <t xml:space="preserve">No new topics. Morning = consolidation. Evening = core CS or a weekly retro.</t>
  </si>
  <si>
    <t xml:space="preserve">The revision rule</t>
  </si>
  <si>
    <t xml:space="preserve">Every problem you solve gets revisited three times: 2 days later, 5 days later, and 10 days later. The Problem Log calculates all three dates the moment you enter a solve date, and the Revision Today sheet gathers whatever is due into one list.</t>
  </si>
  <si>
    <t xml:space="preserve">A revision is NOT re-solving. Read the problem title, then state the approach and the time complexity out loud in under 90 seconds. If you can, tick it. If you can't, leave it unticked and re-solve the problem properly on Sunday.</t>
  </si>
  <si>
    <t xml:space="preserve">At steady state this is about 9 problems a day and takes roughly 20 minutes. That is why the morning starts at 6:30 and not 6:50.</t>
  </si>
  <si>
    <t xml:space="preserve">Colour legend</t>
  </si>
  <si>
    <t xml:space="preserve">Yellow cells</t>
  </si>
  <si>
    <t xml:space="preserve">You type here.</t>
  </si>
  <si>
    <t xml:space="preserve">Grey cells</t>
  </si>
  <si>
    <t xml:space="preserve">Formulas. Don't type over them or the revision queue breaks.</t>
  </si>
  <si>
    <t xml:space="preserve">Row 2 of each sheet</t>
  </si>
  <si>
    <t xml:space="preserve">A worked example showing the expected format. Overwrite it once you start.</t>
  </si>
  <si>
    <t xml:space="preserve">Sheets</t>
  </si>
  <si>
    <t xml:space="preserve">Problem Log</t>
  </si>
  <si>
    <t xml:space="preserve">The engine. Every problem, every revision date. Filter column S on 'DUE' each morning.</t>
  </si>
  <si>
    <t xml:space="preserve">Revision Today</t>
  </si>
  <si>
    <t xml:space="preserve">Open this at 6:30 every morning. It lists exactly which problems are due, on its own.</t>
  </si>
  <si>
    <t xml:space="preserve">Revision Dashboard</t>
  </si>
  <si>
    <t xml:space="preserve">Live counts: due today, overdue, needs redo, solved-alone rate, breakdown by topic.</t>
  </si>
  <si>
    <t xml:space="preserve">32-Week Plan</t>
  </si>
  <si>
    <t xml:space="preserve">The timetable. Target vs actual problem counts pull automatically from the Problem Log.</t>
  </si>
  <si>
    <t xml:space="preserve">Striver Checklist</t>
  </si>
  <si>
    <t xml:space="preserve">All 18 A2Z steps and sub-steps, plus the topics Striver leaves out. Tick as you clear them.</t>
  </si>
  <si>
    <t xml:space="preserve">Daily Log</t>
  </si>
  <si>
    <t xml:space="preserve">Hours in, problems out, energy. Fill this in even on bad days — especially on bad days.</t>
  </si>
  <si>
    <t xml:space="preserve">Course Checklist</t>
  </si>
  <si>
    <t xml:space="preserve">Every Namaste React and Namaste Node episode, mapped to the week it belongs in.</t>
  </si>
  <si>
    <t xml:space="preserve">Applications</t>
  </si>
  <si>
    <t xml:space="preserve">From week 19. Every application, every follow-up.</t>
  </si>
  <si>
    <t xml:space="preserve">Two honest warnings</t>
  </si>
  <si>
    <t xml:space="preserve">1. If your revision backlog climbs past about 25 problems, stop taking on new topics for two days and clear it. A backlog you never clear is the same as never having solved those problems.</t>
  </si>
  <si>
    <t xml:space="preserve">2. If 'Solved alone' sits below 40% for a whole topic, you are reading editorials rather than solving. Slow down and take fewer problems. Four problems you fought for beat twelve you skimmed.</t>
  </si>
  <si>
    <t xml:space="preserve">PROBLEM LOG — enter yellow cells only. Grey columns calculate your revision dates automatically.</t>
  </si>
  <si>
    <t xml:space="preserve">#</t>
  </si>
  <si>
    <t xml:space="preserve">Date Solved</t>
  </si>
  <si>
    <t xml:space="preserve">Wk</t>
  </si>
  <si>
    <t xml:space="preserve">Topic</t>
  </si>
  <si>
    <t xml:space="preserve">Striver Step</t>
  </si>
  <si>
    <t xml:space="preserve">Problem</t>
  </si>
  <si>
    <t xml:space="preserve">Diff</t>
  </si>
  <si>
    <t xml:space="preserve">Link</t>
  </si>
  <si>
    <t xml:space="preserve">Solved How</t>
  </si>
  <si>
    <t xml:space="preserve">Mins</t>
  </si>
  <si>
    <t xml:space="preserve">Approach in one line</t>
  </si>
  <si>
    <t xml:space="preserve">Complexity</t>
  </si>
  <si>
    <t xml:space="preserve">R1 due (+2d)</t>
  </si>
  <si>
    <t xml:space="preserve">R1 ✓</t>
  </si>
  <si>
    <t xml:space="preserve">R2 due (+5d)</t>
  </si>
  <si>
    <t xml:space="preserve">R2 ✓</t>
  </si>
  <si>
    <t xml:space="preserve">R3 due (+10d)</t>
  </si>
  <si>
    <t xml:space="preserve">R3 ✓</t>
  </si>
  <si>
    <t xml:space="preserve">Revision Status</t>
  </si>
  <si>
    <t xml:space="preserve">Conf 1-5</t>
  </si>
  <si>
    <t xml:space="preserve">Redo?</t>
  </si>
  <si>
    <t xml:space="preserve">rank</t>
  </si>
  <si>
    <t xml:space="preserve">Arrays</t>
  </si>
  <si>
    <t xml:space="preserve">Step 3.1</t>
  </si>
  <si>
    <t xml:space="preserve">Second largest element</t>
  </si>
  <si>
    <t xml:space="preserve">Easy</t>
  </si>
  <si>
    <t xml:space="preserve">leetcode.com/problems/...</t>
  </si>
  <si>
    <t xml:space="preserve">Alone</t>
  </si>
  <si>
    <t xml:space="preserve">Single pass, track largest and second largest separately</t>
  </si>
  <si>
    <t xml:space="preserve">O(n) / O(1)</t>
  </si>
  <si>
    <t xml:space="preserve">Y</t>
  </si>
  <si>
    <t xml:space="preserve">REVISION TODAY - fills itself from the Problem Log. Nothing to type except the last column.</t>
  </si>
  <si>
    <t xml:space="preserve">Due right now:</t>
  </si>
  <si>
    <t xml:space="preserve">Read the title, then say the approach and the complexity out loud in 90 seconds. Then tick R1/R2/R3 back in the Problem Log - that is the real record, this column is a scratch mark.</t>
  </si>
  <si>
    <t xml:space="preserve">Solved on</t>
  </si>
  <si>
    <t xml:space="preserve">Your approach, in one line</t>
  </si>
  <si>
    <t xml:space="preserve">Conf</t>
  </si>
  <si>
    <t xml:space="preserve">Recalled it?</t>
  </si>
  <si>
    <t xml:space="preserve">REVISION DASHBOARD</t>
  </si>
  <si>
    <t xml:space="preserve">Everything here reads from the Problem Log. Reopen the file to refresh.</t>
  </si>
  <si>
    <t xml:space="preserve">Today</t>
  </si>
  <si>
    <t xml:space="preserve">Problems by topic</t>
  </si>
  <si>
    <t xml:space="preserve">Solved</t>
  </si>
  <si>
    <t xml:space="preserve">Problems logged</t>
  </si>
  <si>
    <t xml:space="preserve">Python basics</t>
  </si>
  <si>
    <t xml:space="preserve">Revisions DUE now</t>
  </si>
  <si>
    <t xml:space="preserve">Sorting</t>
  </si>
  <si>
    <t xml:space="preserve">Scheduled (not yet due)</t>
  </si>
  <si>
    <t xml:space="preserve">Fully revised (all 3 done)</t>
  </si>
  <si>
    <t xml:space="preserve">Binary Search</t>
  </si>
  <si>
    <t xml:space="preserve">Flagged for a full redo</t>
  </si>
  <si>
    <t xml:space="preserve">Strings</t>
  </si>
  <si>
    <t xml:space="preserve">Linked List</t>
  </si>
  <si>
    <t xml:space="preserve">Solved alone</t>
  </si>
  <si>
    <t xml:space="preserve">Recursion</t>
  </si>
  <si>
    <t xml:space="preserve">Needed a hint</t>
  </si>
  <si>
    <t xml:space="preserve">Bit Manipulation</t>
  </si>
  <si>
    <t xml:space="preserve">Needed the editorial</t>
  </si>
  <si>
    <t xml:space="preserve">Stacks &amp; Queues</t>
  </si>
  <si>
    <t xml:space="preserve">Solved-alone rate</t>
  </si>
  <si>
    <t xml:space="preserve">Sliding Window</t>
  </si>
  <si>
    <t xml:space="preserve">Heaps</t>
  </si>
  <si>
    <t xml:space="preserve">Greedy</t>
  </si>
  <si>
    <t xml:space="preserve">Medium</t>
  </si>
  <si>
    <t xml:space="preserve">Binary Trees</t>
  </si>
  <si>
    <t xml:space="preserve">Hard</t>
  </si>
  <si>
    <t xml:space="preserve">BST</t>
  </si>
  <si>
    <t xml:space="preserve">Graphs</t>
  </si>
  <si>
    <t xml:space="preserve">Average confidence</t>
  </si>
  <si>
    <t xml:space="preserve">DP</t>
  </si>
  <si>
    <t xml:space="preserve">Average minutes per problem</t>
  </si>
  <si>
    <t xml:space="preserve">Tries</t>
  </si>
  <si>
    <t xml:space="preserve">Total hours logged (Daily Log)</t>
  </si>
  <si>
    <t xml:space="preserve">Segment Tree</t>
  </si>
  <si>
    <t xml:space="preserve">If 'Revisions DUE now' goes above 25, pause new topics for two days and clear it. That number is the health check for the whole system.</t>
  </si>
  <si>
    <t xml:space="preserve">32-WEEK PLAN — 'Actual' counts automatically from the Week column in your Problem Log.</t>
  </si>
  <si>
    <t xml:space="preserve">Starts</t>
  </si>
  <si>
    <t xml:space="preserve">Ends</t>
  </si>
  <si>
    <t xml:space="preserve">Phase</t>
  </si>
  <si>
    <t xml:space="preserve">Morning - DSA</t>
  </si>
  <si>
    <t xml:space="preserve">Night - Dev / Prep</t>
  </si>
  <si>
    <t xml:space="preserve">Target</t>
  </si>
  <si>
    <t xml:space="preserve">Actual</t>
  </si>
  <si>
    <t xml:space="preserve">Gap</t>
  </si>
  <si>
    <t xml:space="preserve">Status</t>
  </si>
  <si>
    <t xml:space="preserve">Rebuild the foundation</t>
  </si>
  <si>
    <t xml:space="preserve">Python refresher + Big-O</t>
  </si>
  <si>
    <t xml:space="preserve">Step 1.1-1.2</t>
  </si>
  <si>
    <t xml:space="preserve">HTML - structure &amp; semantics</t>
  </si>
  <si>
    <t xml:space="preserve">Python data structures + maths + hashing</t>
  </si>
  <si>
    <t xml:space="preserve">Step 1.3-1.6</t>
  </si>
  <si>
    <t xml:space="preserve">CSS fundamentals</t>
  </si>
  <si>
    <t xml:space="preserve">Sorting algorithms + Arrays (easy)</t>
  </si>
  <si>
    <t xml:space="preserve">Step 2 + 3.1</t>
  </si>
  <si>
    <t xml:space="preserve">CSS Grid, responsive, Tailwind</t>
  </si>
  <si>
    <t xml:space="preserve">Arrays (medium)</t>
  </si>
  <si>
    <t xml:space="preserve">Step 3.2</t>
  </si>
  <si>
    <t xml:space="preserve">Git, GitHub, deployment</t>
  </si>
  <si>
    <t xml:space="preserve">Arrays &amp; binary search</t>
  </si>
  <si>
    <t xml:space="preserve">Arrays (hard) + intervals</t>
  </si>
  <si>
    <t xml:space="preserve">Step 3.3 + extra</t>
  </si>
  <si>
    <t xml:space="preserve">JavaScript fundamentals I</t>
  </si>
  <si>
    <t xml:space="preserve">Binary search on 1D arrays</t>
  </si>
  <si>
    <t xml:space="preserve">Step 4.1</t>
  </si>
  <si>
    <t xml:space="preserve">JavaScript II - the DOM</t>
  </si>
  <si>
    <t xml:space="preserve">Binary search on answers + 2D</t>
  </si>
  <si>
    <t xml:space="preserve">Step 4.2-4.3</t>
  </si>
  <si>
    <t xml:space="preserve">JavaScript III - async</t>
  </si>
  <si>
    <t xml:space="preserve">Strings (basic + medium)</t>
  </si>
  <si>
    <t xml:space="preserve">Step 5</t>
  </si>
  <si>
    <t xml:space="preserve">JavaScript project week</t>
  </si>
  <si>
    <t xml:space="preserve">Pointers &amp; recursion</t>
  </si>
  <si>
    <t xml:space="preserve">Linked lists - singly &amp; doubly</t>
  </si>
  <si>
    <t xml:space="preserve">Step 6.1-6.2</t>
  </si>
  <si>
    <t xml:space="preserve">Namaste React - Ep 01-04</t>
  </si>
  <si>
    <t xml:space="preserve">Linked lists - medium &amp; hard</t>
  </si>
  <si>
    <t xml:space="preserve">Step 6.3-6.4</t>
  </si>
  <si>
    <t xml:space="preserve">Namaste React - Ep 05-07</t>
  </si>
  <si>
    <t xml:space="preserve">Recursion &amp; subsequences</t>
  </si>
  <si>
    <t xml:space="preserve">Step 7.1-7.2</t>
  </si>
  <si>
    <t xml:space="preserve">Namaste React - Ep 08-10</t>
  </si>
  <si>
    <t xml:space="preserve">Backtracking</t>
  </si>
  <si>
    <t xml:space="preserve">Step 7.3</t>
  </si>
  <si>
    <t xml:space="preserve">Namaste React - Ep 11-13</t>
  </si>
  <si>
    <t xml:space="preserve">Stacks, windows, bits</t>
  </si>
  <si>
    <t xml:space="preserve">Bit manipulation + number theory</t>
  </si>
  <si>
    <t xml:space="preserve">Step 8 + extra</t>
  </si>
  <si>
    <t xml:space="preserve">Namaste React - NetflixGPT (Ep 14-16)</t>
  </si>
  <si>
    <t xml:space="preserve">Stacks, queues &amp; expressions</t>
  </si>
  <si>
    <t xml:space="preserve">Step 9.1-9.2</t>
  </si>
  <si>
    <t xml:space="preserve">Namaste React - YouTube &amp; machine coding</t>
  </si>
  <si>
    <t xml:space="preserve">Monotonic stack</t>
  </si>
  <si>
    <t xml:space="preserve">Step 9.3-9.4</t>
  </si>
  <si>
    <t xml:space="preserve">Namaste Node - Season 1 (Ep 00-07)</t>
  </si>
  <si>
    <t xml:space="preserve">Sliding window &amp; two pointers</t>
  </si>
  <si>
    <t xml:space="preserve">Step 10</t>
  </si>
  <si>
    <t xml:space="preserve">Namaste Node - Season 1 (Ep 08-13)</t>
  </si>
  <si>
    <t xml:space="preserve">Heaps, greedy, trees</t>
  </si>
  <si>
    <t xml:space="preserve">Heaps &amp; priority queues</t>
  </si>
  <si>
    <t xml:space="preserve">Step 11</t>
  </si>
  <si>
    <t xml:space="preserve">Namaste Node - DevTinder API (Ep 00-07)</t>
  </si>
  <si>
    <t xml:space="preserve">Greedy algorithms</t>
  </si>
  <si>
    <t xml:space="preserve">Step 12</t>
  </si>
  <si>
    <t xml:space="preserve">Namaste Node - auth &amp; data (Ep 08-14)</t>
  </si>
  <si>
    <t xml:space="preserve">Binary trees - traversals &amp; basics</t>
  </si>
  <si>
    <t xml:space="preserve">Step 13.1-13.2</t>
  </si>
  <si>
    <t xml:space="preserve">Namaste Node - DevTinder UI (Ep 15-19)</t>
  </si>
  <si>
    <t xml:space="preserve">Binary trees - medium &amp; hard</t>
  </si>
  <si>
    <t xml:space="preserve">Step 13.3-13.4</t>
  </si>
  <si>
    <t xml:space="preserve">Namaste Node - production (S3 Ep 01-09)</t>
  </si>
  <si>
    <t xml:space="preserve">BST &amp; graphs</t>
  </si>
  <si>
    <t xml:space="preserve">Binary search trees</t>
  </si>
  <si>
    <t xml:space="preserve">Step 14</t>
  </si>
  <si>
    <t xml:space="preserve">Interview Q&amp;A + machine coding</t>
  </si>
  <si>
    <t xml:space="preserve">Graphs - BFS, DFS &amp; problems</t>
  </si>
  <si>
    <t xml:space="preserve">Step 15.1-15.2</t>
  </si>
  <si>
    <t xml:space="preserve">LLD - SOLID &amp; patterns</t>
  </si>
  <si>
    <t xml:space="preserve">Topological sort &amp; shortest paths</t>
  </si>
  <si>
    <t xml:space="preserve">Step 15.3-15.4</t>
  </si>
  <si>
    <t xml:space="preserve">LLD - design problems</t>
  </si>
  <si>
    <t xml:space="preserve">MST, DSU &amp; advanced graphs</t>
  </si>
  <si>
    <t xml:space="preserve">Step 15.5-15.6</t>
  </si>
  <si>
    <t xml:space="preserve">SQL, MongoDB &amp; DBMS drilling</t>
  </si>
  <si>
    <t xml:space="preserve">Dynamic programming</t>
  </si>
  <si>
    <t xml:space="preserve">DP - 1D and grids</t>
  </si>
  <si>
    <t xml:space="preserve">Step 16.1-16.2</t>
  </si>
  <si>
    <t xml:space="preserve">OS &amp; CN drilling</t>
  </si>
  <si>
    <t xml:space="preserve">DP on subsequences &amp; strings</t>
  </si>
  <si>
    <t xml:space="preserve">Step 16.3-16.4</t>
  </si>
  <si>
    <t xml:space="preserve">Mock interviews I</t>
  </si>
  <si>
    <t xml:space="preserve">DP - edit distance, stocks, LIS</t>
  </si>
  <si>
    <t xml:space="preserve">Step 16.5-16.6</t>
  </si>
  <si>
    <t xml:space="preserve">Mock interviews II</t>
  </si>
  <si>
    <t xml:space="preserve">DP - partition &amp; trees</t>
  </si>
  <si>
    <t xml:space="preserve">Step 16.7-16.8</t>
  </si>
  <si>
    <t xml:space="preserve">Interview loop</t>
  </si>
  <si>
    <t xml:space="preserve">Sprint &amp; interviews</t>
  </si>
  <si>
    <t xml:space="preserve">Tries &amp; advanced strings</t>
  </si>
  <si>
    <t xml:space="preserve">Step 17-18 + extra</t>
  </si>
  <si>
    <t xml:space="preserve">Revision sprint I</t>
  </si>
  <si>
    <t xml:space="preserve">SDE Sheet</t>
  </si>
  <si>
    <t xml:space="preserve">Revision sprint II</t>
  </si>
  <si>
    <t xml:space="preserve">SDE Sheet + tagged</t>
  </si>
  <si>
    <t xml:space="preserve">Peak &amp; interview</t>
  </si>
  <si>
    <t xml:space="preserve">Final</t>
  </si>
  <si>
    <t xml:space="preserve">Interviewing</t>
  </si>
  <si>
    <t xml:space="preserve">TOTAL</t>
  </si>
  <si>
    <t xml:space="preserve">STRIVER A2Z — all 18 steps. Rows marked 'ADDED' are topics Striver's sheet leaves out but product companies still ask.</t>
  </si>
  <si>
    <t xml:space="preserve">Step</t>
  </si>
  <si>
    <t xml:space="preserve">Section</t>
  </si>
  <si>
    <t xml:space="preserve">Sub-step</t>
  </si>
  <si>
    <t xml:space="preserve">Problems</t>
  </si>
  <si>
    <t xml:space="preserve">Planned Wk</t>
  </si>
  <si>
    <t xml:space="preserve">Started</t>
  </si>
  <si>
    <t xml:space="preserve">Cleared</t>
  </si>
  <si>
    <t xml:space="preserve">Notes</t>
  </si>
  <si>
    <t xml:space="preserve">Learn the basics</t>
  </si>
  <si>
    <t xml:space="preserve">1.1 Things to know / patterns</t>
  </si>
  <si>
    <t xml:space="preserve">1.2 Build-up logical thinking (patterns)</t>
  </si>
  <si>
    <t xml:space="preserve">1.3 Learn STL / Python collections</t>
  </si>
  <si>
    <t xml:space="preserve">1.4 Know basic maths</t>
  </si>
  <si>
    <t xml:space="preserve">1.5 Learn basic recursion</t>
  </si>
  <si>
    <t xml:space="preserve">1.6 Learn basic hashing</t>
  </si>
  <si>
    <t xml:space="preserve">Sorting techniques</t>
  </si>
  <si>
    <t xml:space="preserve">2.1 Sorting-I (selection, bubble, insertion)</t>
  </si>
  <si>
    <t xml:space="preserve">2.2 Sorting-II (merge, quick, recursive)</t>
  </si>
  <si>
    <t xml:space="preserve">3.1 Easy</t>
  </si>
  <si>
    <t xml:space="preserve">3.2 Medium</t>
  </si>
  <si>
    <t xml:space="preserve">3.3 Hard</t>
  </si>
  <si>
    <t xml:space="preserve">+</t>
  </si>
  <si>
    <t xml:space="preserve">ADDED - not in A2Z</t>
  </si>
  <si>
    <t xml:space="preserve">Intervals &amp; sweep line</t>
  </si>
  <si>
    <t xml:space="preserve">4.1 BS on 1D arrays</t>
  </si>
  <si>
    <t xml:space="preserve">4.2 BS on answers</t>
  </si>
  <si>
    <t xml:space="preserve">4.3 BS on 2D arrays</t>
  </si>
  <si>
    <t xml:space="preserve">5.1 Basic and easy</t>
  </si>
  <si>
    <t xml:space="preserve">5.2 Medium</t>
  </si>
  <si>
    <t xml:space="preserve">6.1 Learn 1D linked list</t>
  </si>
  <si>
    <t xml:space="preserve">6.2 Learn doubly linked list</t>
  </si>
  <si>
    <t xml:space="preserve">6.3 Medium problems</t>
  </si>
  <si>
    <t xml:space="preserve">6.4 Hard problems</t>
  </si>
  <si>
    <t xml:space="preserve">7.1 Get a strong hold</t>
  </si>
  <si>
    <t xml:space="preserve">7.2 Subsequences pattern</t>
  </si>
  <si>
    <t xml:space="preserve">7.3 Trying all combos / hard</t>
  </si>
  <si>
    <t xml:space="preserve">8.1 Learn the basics</t>
  </si>
  <si>
    <t xml:space="preserve">8.2 Interview problems</t>
  </si>
  <si>
    <t xml:space="preserve">8.3 Advanced maths</t>
  </si>
  <si>
    <t xml:space="preserve">Number theory: modular arithmetic, mod inverse</t>
  </si>
  <si>
    <t xml:space="preserve">9.1 Learn implementation</t>
  </si>
  <si>
    <t xml:space="preserve">9.2 Prefix, infix, postfix</t>
  </si>
  <si>
    <t xml:space="preserve">9.3 Monotonic stack / queue</t>
  </si>
  <si>
    <t xml:space="preserve">9.4 Implementation problems</t>
  </si>
  <si>
    <t xml:space="preserve">10.1 Medium problems</t>
  </si>
  <si>
    <t xml:space="preserve">10.2 Hard problems</t>
  </si>
  <si>
    <t xml:space="preserve">11.1 Learn theory</t>
  </si>
  <si>
    <t xml:space="preserve">11.2 Medium problems</t>
  </si>
  <si>
    <t xml:space="preserve">11.3 Hard problems</t>
  </si>
  <si>
    <t xml:space="preserve">12.1 Easy problems</t>
  </si>
  <si>
    <t xml:space="preserve">12.2 Medium / hard</t>
  </si>
  <si>
    <t xml:space="preserve">13.1 Traversals</t>
  </si>
  <si>
    <t xml:space="preserve">13.2 Medium problems</t>
  </si>
  <si>
    <t xml:space="preserve">13.3 Hard problems</t>
  </si>
  <si>
    <t xml:space="preserve">14.1 Concepts</t>
  </si>
  <si>
    <t xml:space="preserve">14.2 Practice problems</t>
  </si>
  <si>
    <t xml:space="preserve">14.3 Medium / hard</t>
  </si>
  <si>
    <t xml:space="preserve">15.1 Learn / BFS / DFS</t>
  </si>
  <si>
    <t xml:space="preserve">15.2 Problems on BFS &amp; DFS</t>
  </si>
  <si>
    <t xml:space="preserve">15.3 Topological sort</t>
  </si>
  <si>
    <t xml:space="preserve">15.4 Shortest path algorithms</t>
  </si>
  <si>
    <t xml:space="preserve">15.5 MST / disjoint set</t>
  </si>
  <si>
    <t xml:space="preserve">15.6 Other algorithms</t>
  </si>
  <si>
    <t xml:space="preserve">Dynamic Programming</t>
  </si>
  <si>
    <t xml:space="preserve">16.1 Intro to DP</t>
  </si>
  <si>
    <t xml:space="preserve">16.2 1D DP</t>
  </si>
  <si>
    <t xml:space="preserve">16.3 2D / 3D DP and grids</t>
  </si>
  <si>
    <t xml:space="preserve">16.4 DP on subsequences</t>
  </si>
  <si>
    <t xml:space="preserve">16.5 DP on strings</t>
  </si>
  <si>
    <t xml:space="preserve">16.6 DP on stocks</t>
  </si>
  <si>
    <t xml:space="preserve">16.7 DP on LIS</t>
  </si>
  <si>
    <t xml:space="preserve">16.8 Partition DP / MCM</t>
  </si>
  <si>
    <t xml:space="preserve">16.9 DP on squares / trees</t>
  </si>
  <si>
    <t xml:space="preserve">17.1 Theory</t>
  </si>
  <si>
    <t xml:space="preserve">17.2 Problems</t>
  </si>
  <si>
    <t xml:space="preserve">Strings (advanced)</t>
  </si>
  <si>
    <t xml:space="preserve">18.1 Hard problems, KMP, Z-function</t>
  </si>
  <si>
    <t xml:space="preserve">Segment tree &amp; Fenwick tree</t>
  </si>
  <si>
    <t xml:space="preserve">LLD / OOP design round</t>
  </si>
  <si>
    <t xml:space="preserve">SQL as an interview round</t>
  </si>
  <si>
    <t xml:space="preserve">TOTAL PROBLEMS</t>
  </si>
  <si>
    <t xml:space="preserve">DAILY LOG — fill this in even on the bad days. Especially on the bad days.</t>
  </si>
  <si>
    <t xml:space="preserve">Date</t>
  </si>
  <si>
    <t xml:space="preserve">Day</t>
  </si>
  <si>
    <t xml:space="preserve">Morning hrs</t>
  </si>
  <si>
    <t xml:space="preserve">Evening hrs</t>
  </si>
  <si>
    <t xml:space="preserve">Total</t>
  </si>
  <si>
    <t xml:space="preserve">New problems</t>
  </si>
  <si>
    <t xml:space="preserve">Revisions cleared</t>
  </si>
  <si>
    <t xml:space="preserve">Energy 1-5</t>
  </si>
  <si>
    <t xml:space="preserve">What went wrong today</t>
  </si>
  <si>
    <t xml:space="preserve">Fix for tomorrow</t>
  </si>
  <si>
    <t xml:space="preserve">Lost 20 min deciding what to start with</t>
  </si>
  <si>
    <t xml:space="preserve">Write tomorrow's first task before bed</t>
  </si>
  <si>
    <t xml:space="preserve">APPLICATIONS — starts week 19 (7 Dec 2026). Anything with no contact for 10+ days needs a follow-up.</t>
  </si>
  <si>
    <t xml:space="preserve">Date applied</t>
  </si>
  <si>
    <t xml:space="preserve">Company</t>
  </si>
  <si>
    <t xml:space="preserve">Role</t>
  </si>
  <si>
    <t xml:space="preserve">Source</t>
  </si>
  <si>
    <t xml:space="preserve">Last contact</t>
  </si>
  <si>
    <t xml:space="preserve">Days since</t>
  </si>
  <si>
    <t xml:space="preserve">Next action</t>
  </si>
  <si>
    <t xml:space="preserve">Example Corp</t>
  </si>
  <si>
    <t xml:space="preserve">SDE-1 Backend</t>
  </si>
  <si>
    <t xml:space="preserve">Referral</t>
  </si>
  <si>
    <t xml:space="preserve">Applied</t>
  </si>
  <si>
    <t xml:space="preserve">Follow up if no reply by 15 Dec</t>
  </si>
  <si>
    <t xml:space="preserve">Referred by X, mentioned the real-time project</t>
  </si>
  <si>
    <t xml:space="preserve">NAMASTE REACT + NAMASTE NODE - tick 'Watched' only after you have also built along. Watching alone does not count.</t>
  </si>
  <si>
    <t xml:space="preserve">Course</t>
  </si>
  <si>
    <t xml:space="preserve">Episode</t>
  </si>
  <si>
    <t xml:space="preserve">Watched</t>
  </si>
  <si>
    <t xml:space="preserve">Built it</t>
  </si>
  <si>
    <t xml:space="preserve">Notes / where I got stuck</t>
  </si>
  <si>
    <t xml:space="preserve">React</t>
  </si>
  <si>
    <t xml:space="preserve">Namaste React Web Series</t>
  </si>
  <si>
    <t xml:space="preserve">Important Guidelines - read first</t>
  </si>
  <si>
    <t xml:space="preserve">Ep 01 | Inception</t>
  </si>
  <si>
    <t xml:space="preserve">Ep 02 | Igniting our App</t>
  </si>
  <si>
    <t xml:space="preserve">Ep 03 | Laying the foundation</t>
  </si>
  <si>
    <t xml:space="preserve">Ep 04 | Talk is Cheap, Show Me the Code</t>
  </si>
  <si>
    <t xml:space="preserve">Swiggy Dummy Data API documentation</t>
  </si>
  <si>
    <t xml:space="preserve">Ep 05 | Let's Get Hooked</t>
  </si>
  <si>
    <t xml:space="preserve">Ep 06 | Exploring the World</t>
  </si>
  <si>
    <t xml:space="preserve">Ep 6.1 | Swiggy API issue resolved</t>
  </si>
  <si>
    <t xml:space="preserve">Ep 6.2 | CORS plugin issue solved</t>
  </si>
  <si>
    <t xml:space="preserve">Ep 07 | Finding the Path</t>
  </si>
  <si>
    <t xml:space="preserve">Ep 08 | Let's Get Classy</t>
  </si>
  <si>
    <t xml:space="preserve">Ep 09 | Optimizing our App</t>
  </si>
  <si>
    <t xml:space="preserve">Ep 10 | Jo Dikhta Hai, Vo Bikta Hai</t>
  </si>
  <si>
    <t xml:space="preserve">Ep 11 | Data is the New Oil</t>
  </si>
  <si>
    <t xml:space="preserve">Ep 12 | Let's Build Our Store</t>
  </si>
  <si>
    <t xml:space="preserve">Ep 13 | Time for Test</t>
  </si>
  <si>
    <t xml:space="preserve">Bonus</t>
  </si>
  <si>
    <t xml:space="preserve">useMemo, useCallback, useRef hooks</t>
  </si>
  <si>
    <t xml:space="preserve">Ep 14 | NetflixGPT - The Beginning</t>
  </si>
  <si>
    <t xml:space="preserve">Ep 15 | NetflixGPT - Building the Core</t>
  </si>
  <si>
    <t xml:space="preserve">Ep 16 | NetflixGPT - Wrapping Up</t>
  </si>
  <si>
    <t xml:space="preserve">Machine Coding Interview &amp;&amp; Building YouTube</t>
  </si>
  <si>
    <t xml:space="preserve">Advance Features in YouTube Project</t>
  </si>
  <si>
    <t xml:space="preserve">Wrapping up YouTube Project</t>
  </si>
  <si>
    <t xml:space="preserve">Node</t>
  </si>
  <si>
    <t xml:space="preserve">Season 1</t>
  </si>
  <si>
    <t xml:space="preserve">Ep 00 | Welcome to Namaste Node.js</t>
  </si>
  <si>
    <t xml:space="preserve">Ep 01 | Introduction to Node.js</t>
  </si>
  <si>
    <t xml:space="preserve">Ep 02 | JS on Server</t>
  </si>
  <si>
    <t xml:space="preserve">Ep 03 | Let's write code</t>
  </si>
  <si>
    <t xml:space="preserve">Ep 04 | module.export &amp; require</t>
  </si>
  <si>
    <t xml:space="preserve">Ep 05 | Diving into the Node.js github repo</t>
  </si>
  <si>
    <t xml:space="preserve">Ep 06 | libuv &amp; async IO</t>
  </si>
  <si>
    <t xml:space="preserve">Ep 07 | sync, async, setTimeoutZero</t>
  </si>
  <si>
    <t xml:space="preserve">Ep 08 | Deep dive into v8 JS Engine</t>
  </si>
  <si>
    <t xml:space="preserve">Ep 09 | libuv &amp; Event Loop</t>
  </si>
  <si>
    <t xml:space="preserve">Ep 10 | Thread pool in libuv</t>
  </si>
  <si>
    <t xml:space="preserve">Ep 11 | Creating a Server</t>
  </si>
  <si>
    <t xml:space="preserve">Ep 12 | Databases - SQL &amp; NoSQL</t>
  </si>
  <si>
    <t xml:space="preserve">Ep 13 | Creating a database &amp; mongodb</t>
  </si>
  <si>
    <t xml:space="preserve">Season 2</t>
  </si>
  <si>
    <t xml:space="preserve">Ep 00 | Introduction to Project</t>
  </si>
  <si>
    <t xml:space="preserve">Ep 01 | Microservices vs Monolith</t>
  </si>
  <si>
    <t xml:space="preserve">Ep 02 | Features, HLD, LLD &amp; Planning</t>
  </si>
  <si>
    <t xml:space="preserve">Ep 03 | Creating our Express Server</t>
  </si>
  <si>
    <t xml:space="preserve">Ep 04 | Routing and Request Handlers</t>
  </si>
  <si>
    <t xml:space="preserve">Ep 05 | Middlewares &amp; Error Handlers</t>
  </si>
  <si>
    <t xml:space="preserve">Ep 06 | Database, Schema &amp; Models | Mongoose</t>
  </si>
  <si>
    <t xml:space="preserve">Ep 07 | Diving into the APIs</t>
  </si>
  <si>
    <t xml:space="preserve">Ep 08 | Data Sanitization &amp; Schema Validations</t>
  </si>
  <si>
    <t xml:space="preserve">Ep 09 | Encrypting Passwords</t>
  </si>
  <si>
    <t xml:space="preserve">Ep 10 | Authentication, JWT &amp; Cookies</t>
  </si>
  <si>
    <t xml:space="preserve">Ep 11 | APIs and express Router</t>
  </si>
  <si>
    <t xml:space="preserve">Ep 12 | Logical DB Query &amp; Compound Indexes</t>
  </si>
  <si>
    <t xml:space="preserve">Ep 13 | ref, Populate &amp; writing APIs</t>
  </si>
  <si>
    <t xml:space="preserve">Ep 14 | Building Feed API &amp; Pagination</t>
  </si>
  <si>
    <t xml:space="preserve">DevTinder Project Github Repos</t>
  </si>
  <si>
    <t xml:space="preserve">Ep 15 | DevTinder UI - Part 1</t>
  </si>
  <si>
    <t xml:space="preserve">Ep 16 | DevTinder UI - Part 2</t>
  </si>
  <si>
    <t xml:space="preserve">Ep 17 | DevTinder UI - Part 3</t>
  </si>
  <si>
    <t xml:space="preserve">Ep 18 | DevTinder UI - Part 4</t>
  </si>
  <si>
    <t xml:space="preserve">Ep 19 | DevTinder UI - Part 5</t>
  </si>
  <si>
    <t xml:space="preserve">Season 3</t>
  </si>
  <si>
    <t xml:space="preserve">Ep 01 | Launching AWS Instance, deploy frontend</t>
  </si>
  <si>
    <t xml:space="preserve">Ep 02 | Nginx &amp; Backend Node App Deployment</t>
  </si>
  <si>
    <t xml:space="preserve">Updating nginx config</t>
  </si>
  <si>
    <t xml:space="preserve">Ep 03 | Adding a Custom Domain Name</t>
  </si>
  <si>
    <t xml:space="preserve">Ep 04 | Sending Emails using Amazon SES</t>
  </si>
  <si>
    <t xml:space="preserve">Ep 05 | Credentials Safe Using dotenv</t>
  </si>
  <si>
    <t xml:space="preserve">Ep 06 | Scheduling Cron Jobs</t>
  </si>
  <si>
    <t xml:space="preserve">Ep 07 | Payment Gateway ft. Razorpay</t>
  </si>
  <si>
    <t xml:space="preserve">Ep 08 | Web Sockets &amp; socket.io</t>
  </si>
  <si>
    <t xml:space="preserve">Ep 09 | Building Real-time Live Chat Feature</t>
  </si>
  <si>
    <t xml:space="preserve">Both</t>
  </si>
  <si>
    <t xml:space="preserve">Resume Masterclass</t>
  </si>
  <si>
    <t xml:space="preserve">LinkedIn Masterclass</t>
  </si>
  <si>
    <t xml:space="preserve">Personal Branding Masterclass</t>
  </si>
  <si>
    <t xml:space="preserve">Salary Negotiation Masterclass</t>
  </si>
  <si>
    <t xml:space="preserve">Top Node.js Interview Questions (PDF)</t>
  </si>
  <si>
    <t xml:space="preserve">Top React Interview Questions (PDF)</t>
  </si>
  <si>
    <t xml:space="preserve">Top JavaScript Interview Questions (PDF)</t>
  </si>
  <si>
    <t xml:space="preserve">Note</t>
  </si>
  <si>
    <t xml:space="preserve">-</t>
  </si>
  <si>
    <t xml:space="preserve">React course lists DevTinder UI as bonus - identical to Node S2 Ep 15-19, scheduled once in wk 19</t>
  </si>
  <si>
    <t xml:space="preserve">TOTAL BUILT</t>
  </si>
</sst>
</file>

<file path=xl/styles.xml><?xml version="1.0" encoding="utf-8"?>
<styleSheet xmlns="http://schemas.openxmlformats.org/spreadsheetml/2006/main">
  <numFmts count="6">
    <numFmt numFmtId="164" formatCode="General"/>
    <numFmt numFmtId="165" formatCode="General"/>
    <numFmt numFmtId="166" formatCode="dd\-mmm\-yy"/>
    <numFmt numFmtId="167" formatCode="0"/>
    <numFmt numFmtId="168" formatCode="0.0%"/>
    <numFmt numFmtId="169" formatCode="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color rgb="FF666666"/>
      <name val="Arial"/>
      <family val="0"/>
      <charset val="1"/>
    </font>
    <font>
      <b val="true"/>
      <sz val="11"/>
      <color rgb="FF2E3A8C"/>
      <name val="Arial"/>
      <family val="0"/>
      <charset val="1"/>
    </font>
    <font>
      <b val="true"/>
      <sz val="10"/>
      <name val="Arial"/>
      <family val="0"/>
      <charset val="1"/>
    </font>
    <font>
      <sz val="10"/>
      <name val="Arial"/>
      <family val="0"/>
      <charset val="1"/>
    </font>
    <font>
      <i val="true"/>
      <sz val="9"/>
      <color rgb="FF666666"/>
      <name val="Arial"/>
      <family val="0"/>
      <charset val="1"/>
    </font>
    <font>
      <sz val="10"/>
      <name val="Courier New"/>
      <family val="0"/>
      <charset val="1"/>
    </font>
    <font>
      <b val="true"/>
      <sz val="10"/>
      <color rgb="FFFFFFFF"/>
      <name val="Arial"/>
      <family val="0"/>
      <charset val="1"/>
    </font>
    <font>
      <i val="true"/>
      <sz val="10"/>
      <color rgb="FF888888"/>
      <name val="Arial"/>
      <family val="0"/>
      <charset val="1"/>
    </font>
    <font>
      <b val="true"/>
      <sz val="11"/>
      <color rgb="FFB00020"/>
      <name val="Arial"/>
      <family val="0"/>
      <charset val="1"/>
    </font>
    <font>
      <i val="true"/>
      <sz val="9"/>
      <color rgb="FFB00020"/>
      <name val="Arial"/>
      <family val="0"/>
      <charset val="1"/>
    </font>
    <font>
      <i val="true"/>
      <sz val="10"/>
      <color rgb="FF2E3A8C"/>
      <name val="Arial"/>
      <family val="0"/>
      <charset val="1"/>
    </font>
  </fonts>
  <fills count="9">
    <fill>
      <patternFill patternType="none"/>
    </fill>
    <fill>
      <patternFill patternType="gray125"/>
    </fill>
    <fill>
      <patternFill patternType="solid">
        <fgColor rgb="FFF2F2F2"/>
        <bgColor rgb="FFF0F0F0"/>
      </patternFill>
    </fill>
    <fill>
      <patternFill patternType="solid">
        <fgColor rgb="FF16171D"/>
        <bgColor rgb="FF000000"/>
      </patternFill>
    </fill>
    <fill>
      <patternFill patternType="solid">
        <fgColor rgb="FFF0F0F0"/>
        <bgColor rgb="FFF2F2F2"/>
      </patternFill>
    </fill>
    <fill>
      <patternFill patternType="solid">
        <fgColor rgb="FFFFF9E6"/>
        <bgColor rgb="FFFDF0D5"/>
      </patternFill>
    </fill>
    <fill>
      <patternFill patternType="solid">
        <fgColor rgb="FFE3E6F3"/>
        <bgColor rgb="FFEDEDED"/>
      </patternFill>
    </fill>
    <fill>
      <patternFill patternType="solid">
        <fgColor rgb="FFF3E9D5"/>
        <bgColor rgb="FFFDF0D5"/>
      </patternFill>
    </fill>
    <fill>
      <patternFill patternType="solid">
        <fgColor rgb="FFEDEDED"/>
        <bgColor rgb="FFF0F0F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6" fontId="12"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3" fillId="4" borderId="1" xfId="0" applyFont="true" applyBorder="true" applyAlignment="true" applyProtection="false">
      <alignment horizontal="center" vertical="bottom" textRotation="0" wrapText="false" indent="0" shrinkToFit="false"/>
      <protection locked="true" hidden="false"/>
    </xf>
    <xf numFmtId="166" fontId="8" fillId="4" borderId="1" xfId="0" applyFont="true" applyBorder="true" applyAlignment="true" applyProtection="false">
      <alignment horizontal="center"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7" fontId="8" fillId="4"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center" vertical="bottom" textRotation="0" wrapText="false" indent="0" shrinkToFit="false"/>
      <protection locked="true" hidden="false"/>
    </xf>
    <xf numFmtId="169" fontId="8" fillId="4"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4" fontId="15" fillId="6" borderId="1" xfId="0" applyFont="true" applyBorder="true" applyAlignment="true" applyProtection="false">
      <alignment horizontal="center"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center"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6" fontId="12"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6171D"/>
          <bgColor rgb="FF000000"/>
        </patternFill>
      </fill>
    </dxf>
    <dxf>
      <fill>
        <patternFill patternType="solid">
          <fgColor rgb="FFF0F0F0"/>
          <bgColor rgb="FF000000"/>
        </patternFill>
      </fill>
    </dxf>
    <dxf>
      <fill>
        <patternFill patternType="solid">
          <fgColor rgb="FF666666"/>
          <bgColor rgb="FF000000"/>
        </patternFill>
      </fill>
    </dxf>
    <dxf>
      <fill>
        <patternFill patternType="solid">
          <fgColor rgb="FFFFFFFF"/>
          <bgColor rgb="FF000000"/>
        </patternFill>
      </fill>
    </dxf>
    <dxf>
      <fill>
        <patternFill patternType="solid">
          <fgColor rgb="FFFFF9E6"/>
          <bgColor rgb="FF000000"/>
        </patternFill>
      </fill>
    </dxf>
    <dxf>
      <fill>
        <patternFill patternType="solid">
          <fgColor rgb="FF888888"/>
          <bgColor rgb="FF000000"/>
        </patternFill>
      </fill>
    </dxf>
    <dxf>
      <fill>
        <patternFill patternType="solid">
          <bgColor rgb="FF000000"/>
        </patternFill>
      </fill>
    </dxf>
    <dxf>
      <font>
        <name val="Arial"/>
        <charset val="1"/>
        <family val="0"/>
        <b val="1"/>
        <color rgb="FFB00020"/>
        <sz val="10"/>
      </font>
      <fill>
        <patternFill>
          <bgColor rgb="FFFBE0DE"/>
        </patternFill>
      </fill>
    </dxf>
    <dxf>
      <fill>
        <patternFill>
          <bgColor rgb="FFDCEEE1"/>
        </patternFill>
      </fill>
    </dxf>
    <dxf>
      <font>
        <name val="Arial"/>
        <charset val="1"/>
        <family val="0"/>
        <b val="1"/>
        <color rgb="FF8A5A00"/>
        <sz val="10"/>
      </font>
      <fill>
        <patternFill>
          <bgColor rgb="FFFDF0D5"/>
        </patternFill>
      </fill>
    </dxf>
    <dxf>
      <fill>
        <patternFill>
          <bgColor rgb="FFFDF0D5"/>
        </patternFill>
      </fill>
    </dxf>
    <dxf>
      <fill>
        <patternFill>
          <bgColor rgb="FFFBE0DE"/>
        </patternFill>
      </fill>
    </dxf>
    <dxf>
      <fill>
        <patternFill patternType="solid">
          <fgColor rgb="FFE3E6F3"/>
          <bgColor rgb="FF000000"/>
        </patternFill>
      </fill>
    </dxf>
    <dxf>
      <fill>
        <patternFill patternType="solid">
          <fgColor rgb="FFEDEDED"/>
          <bgColor rgb="FF000000"/>
        </patternFill>
      </fill>
    </dxf>
    <dxf>
      <fill>
        <patternFill patternType="solid">
          <fgColor rgb="FFF3E9D5"/>
          <bgColor rgb="FF000000"/>
        </patternFill>
      </fill>
    </dxf>
  </dxfs>
  <colors>
    <indexedColors>
      <rgbColor rgb="FF000000"/>
      <rgbColor rgb="FFFFFFFF"/>
      <rgbColor rgb="FFFF0000"/>
      <rgbColor rgb="FF00FF00"/>
      <rgbColor rgb="FF0000FF"/>
      <rgbColor rgb="FFFFFF00"/>
      <rgbColor rgb="FFFF00FF"/>
      <rgbColor rgb="FF00FFFF"/>
      <rgbColor rgb="FFB00020"/>
      <rgbColor rgb="FF008000"/>
      <rgbColor rgb="FF000080"/>
      <rgbColor rgb="FF8A5A00"/>
      <rgbColor rgb="FF800080"/>
      <rgbColor rgb="FF008080"/>
      <rgbColor rgb="FFCCCCCC"/>
      <rgbColor rgb="FF888888"/>
      <rgbColor rgb="FF9999FF"/>
      <rgbColor rgb="FF993366"/>
      <rgbColor rgb="FFFFF9E6"/>
      <rgbColor rgb="FFE3E6F3"/>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0F0F0"/>
      <rgbColor rgb="FFDCEEE1"/>
      <rgbColor rgb="FFFDF0D5"/>
      <rgbColor rgb="FFF3E9D5"/>
      <rgbColor rgb="FFF2F2F2"/>
      <rgbColor rgb="FFCC99FF"/>
      <rgbColor rgb="FFFBE0DE"/>
      <rgbColor rgb="FF3366FF"/>
      <rgbColor rgb="FF33CCCC"/>
      <rgbColor rgb="FF99CC00"/>
      <rgbColor rgb="FFFFCC00"/>
      <rgbColor rgb="FFFF9900"/>
      <rgbColor rgb="FFFF6600"/>
      <rgbColor rgb="FF666666"/>
      <rgbColor rgb="FF969696"/>
      <rgbColor rgb="FF003366"/>
      <rgbColor rgb="FF339966"/>
      <rgbColor rgb="FF16171D"/>
      <rgbColor rgb="FF333300"/>
      <rgbColor rgb="FF993300"/>
      <rgbColor rgb="FF993366"/>
      <rgbColor rgb="FF2E3A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4"/>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30" hidden="false" customHeight="true" outlineLevel="0" collapsed="false">
      <c r="A5" s="4" t="s">
        <v>3</v>
      </c>
      <c r="B5" s="5" t="s">
        <v>4</v>
      </c>
    </row>
    <row r="6" customFormat="false" ht="30" hidden="false" customHeight="true" outlineLevel="0" collapsed="false">
      <c r="A6" s="4" t="s">
        <v>3</v>
      </c>
      <c r="B6" s="5" t="s">
        <v>5</v>
      </c>
    </row>
    <row r="7" customFormat="false" ht="30" hidden="false" customHeight="true" outlineLevel="0" collapsed="false">
      <c r="A7" s="4" t="s">
        <v>3</v>
      </c>
      <c r="B7" s="5" t="s">
        <v>6</v>
      </c>
    </row>
    <row r="8" customFormat="false" ht="43.5" hidden="false" customHeight="true" outlineLevel="0" collapsed="false">
      <c r="B8" s="6" t="s">
        <v>7</v>
      </c>
    </row>
    <row r="10" customFormat="false" ht="15" hidden="false" customHeight="false" outlineLevel="0" collapsed="false">
      <c r="B10" s="3" t="s">
        <v>8</v>
      </c>
    </row>
    <row r="11" customFormat="false" ht="57.75" hidden="false" customHeight="true" outlineLevel="0" collapsed="false">
      <c r="B11" s="5" t="s">
        <v>9</v>
      </c>
    </row>
    <row r="12" customFormat="false" ht="30" hidden="false" customHeight="true" outlineLevel="0" collapsed="false">
      <c r="A12" s="4" t="s">
        <v>3</v>
      </c>
      <c r="B12" s="5" t="s">
        <v>10</v>
      </c>
    </row>
    <row r="13" customFormat="false" ht="30" hidden="false" customHeight="true" outlineLevel="0" collapsed="false">
      <c r="A13" s="4" t="s">
        <v>3</v>
      </c>
      <c r="B13" s="5" t="s">
        <v>11</v>
      </c>
    </row>
    <row r="14" customFormat="false" ht="31.5" hidden="false" customHeight="true" outlineLevel="0" collapsed="false">
      <c r="B14" s="7" t="s">
        <v>12</v>
      </c>
    </row>
    <row r="15" customFormat="false" ht="30" hidden="false" customHeight="true" outlineLevel="0" collapsed="false">
      <c r="A15" s="4" t="s">
        <v>3</v>
      </c>
      <c r="B15" s="5" t="s">
        <v>13</v>
      </c>
    </row>
    <row r="16" customFormat="false" ht="31.5" hidden="false" customHeight="true" outlineLevel="0" collapsed="false">
      <c r="B16" s="7" t="s">
        <v>14</v>
      </c>
    </row>
    <row r="17" customFormat="false" ht="30" hidden="false" customHeight="true" outlineLevel="0" collapsed="false">
      <c r="A17" s="4" t="s">
        <v>3</v>
      </c>
      <c r="B17" s="5" t="s">
        <v>15</v>
      </c>
    </row>
    <row r="18" customFormat="false" ht="43.5" hidden="false" customHeight="true" outlineLevel="0" collapsed="false">
      <c r="B18" s="6" t="s">
        <v>16</v>
      </c>
    </row>
    <row r="20" customFormat="false" ht="15" hidden="false" customHeight="false" outlineLevel="0" collapsed="false">
      <c r="B20" s="3" t="s">
        <v>17</v>
      </c>
    </row>
    <row r="21" customFormat="false" ht="57.75" hidden="false" customHeight="true" outlineLevel="0" collapsed="false">
      <c r="B21" s="5" t="s">
        <v>18</v>
      </c>
    </row>
    <row r="23" customFormat="false" ht="15" hidden="false" customHeight="false" outlineLevel="0" collapsed="false">
      <c r="B23" s="3" t="s">
        <v>19</v>
      </c>
    </row>
    <row r="24" customFormat="false" ht="57.75" hidden="false" customHeight="true" outlineLevel="0" collapsed="false">
      <c r="B24" s="5"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7.35" hidden="false" customHeight="false" outlineLevel="0" collapsed="false">
      <c r="A1" s="1" t="s">
        <v>21</v>
      </c>
    </row>
    <row r="2" customFormat="false" ht="15" hidden="false" customHeight="false" outlineLevel="0" collapsed="false">
      <c r="A2" s="2" t="s">
        <v>22</v>
      </c>
    </row>
    <row r="4" customFormat="false" ht="15" hidden="false" customHeight="false" outlineLevel="0" collapsed="false">
      <c r="A4" s="3" t="s">
        <v>23</v>
      </c>
    </row>
    <row r="5" customFormat="false" ht="25.5" hidden="false" customHeight="true" outlineLevel="0" collapsed="false">
      <c r="A5" s="8" t="s">
        <v>24</v>
      </c>
      <c r="B5" s="5" t="s">
        <v>25</v>
      </c>
    </row>
    <row r="6" customFormat="false" ht="25.5" hidden="false" customHeight="true" outlineLevel="0" collapsed="false">
      <c r="A6" s="8" t="s">
        <v>26</v>
      </c>
      <c r="B6" s="5" t="s">
        <v>27</v>
      </c>
    </row>
    <row r="7" customFormat="false" ht="25.5" hidden="false" customHeight="true" outlineLevel="0" collapsed="false">
      <c r="A7" s="8" t="s">
        <v>28</v>
      </c>
      <c r="B7" s="5" t="s">
        <v>29</v>
      </c>
    </row>
    <row r="8" customFormat="false" ht="25.5" hidden="false" customHeight="true" outlineLevel="0" collapsed="false">
      <c r="A8" s="8" t="s">
        <v>30</v>
      </c>
      <c r="B8" s="5" t="s">
        <v>31</v>
      </c>
    </row>
    <row r="9" customFormat="false" ht="25.5" hidden="false" customHeight="true" outlineLevel="0" collapsed="false">
      <c r="A9" s="8" t="s">
        <v>32</v>
      </c>
      <c r="B9" s="5" t="s">
        <v>33</v>
      </c>
    </row>
    <row r="10" customFormat="false" ht="25.5" hidden="false" customHeight="true" outlineLevel="0" collapsed="false">
      <c r="A10" s="8" t="s">
        <v>34</v>
      </c>
      <c r="B10" s="5" t="s">
        <v>35</v>
      </c>
    </row>
    <row r="11" customFormat="false" ht="25.5" hidden="false" customHeight="true" outlineLevel="0" collapsed="false">
      <c r="A11" s="8" t="s">
        <v>36</v>
      </c>
      <c r="B11" s="5" t="s">
        <v>37</v>
      </c>
    </row>
    <row r="13" customFormat="false" ht="15" hidden="false" customHeight="false" outlineLevel="0" collapsed="false">
      <c r="A13" s="3" t="s">
        <v>38</v>
      </c>
    </row>
    <row r="14" customFormat="false" ht="42" hidden="false" customHeight="true" outlineLevel="0" collapsed="false">
      <c r="A14" s="9" t="s">
        <v>39</v>
      </c>
      <c r="B14" s="9"/>
    </row>
    <row r="15" customFormat="false" ht="42" hidden="false" customHeight="true" outlineLevel="0" collapsed="false">
      <c r="A15" s="9" t="s">
        <v>40</v>
      </c>
      <c r="B15" s="9"/>
    </row>
    <row r="16" customFormat="false" ht="42" hidden="false" customHeight="true" outlineLevel="0" collapsed="false">
      <c r="A16" s="9" t="s">
        <v>41</v>
      </c>
      <c r="B16" s="9"/>
    </row>
    <row r="18" customFormat="false" ht="15" hidden="false" customHeight="false" outlineLevel="0" collapsed="false">
      <c r="A18" s="3" t="s">
        <v>42</v>
      </c>
    </row>
    <row r="19" customFormat="false" ht="25.5" hidden="false" customHeight="true" outlineLevel="0" collapsed="false">
      <c r="A19" s="8" t="s">
        <v>43</v>
      </c>
      <c r="B19" s="5" t="s">
        <v>44</v>
      </c>
    </row>
    <row r="20" customFormat="false" ht="25.5" hidden="false" customHeight="true" outlineLevel="0" collapsed="false">
      <c r="A20" s="8" t="s">
        <v>45</v>
      </c>
      <c r="B20" s="5" t="s">
        <v>46</v>
      </c>
    </row>
    <row r="21" customFormat="false" ht="25.5" hidden="false" customHeight="true" outlineLevel="0" collapsed="false">
      <c r="A21" s="8" t="s">
        <v>47</v>
      </c>
      <c r="B21" s="5" t="s">
        <v>48</v>
      </c>
    </row>
    <row r="23" customFormat="false" ht="15" hidden="false" customHeight="false" outlineLevel="0" collapsed="false">
      <c r="A23" s="3" t="s">
        <v>49</v>
      </c>
    </row>
    <row r="24" customFormat="false" ht="25.5" hidden="false" customHeight="true" outlineLevel="0" collapsed="false">
      <c r="A24" s="8" t="s">
        <v>50</v>
      </c>
      <c r="B24" s="5" t="s">
        <v>51</v>
      </c>
    </row>
    <row r="25" customFormat="false" ht="25.5" hidden="false" customHeight="true" outlineLevel="0" collapsed="false">
      <c r="A25" s="8" t="s">
        <v>52</v>
      </c>
      <c r="B25" s="5" t="s">
        <v>53</v>
      </c>
    </row>
    <row r="26" customFormat="false" ht="25.5" hidden="false" customHeight="true" outlineLevel="0" collapsed="false">
      <c r="A26" s="8" t="s">
        <v>54</v>
      </c>
      <c r="B26" s="5" t="s">
        <v>55</v>
      </c>
    </row>
    <row r="27" customFormat="false" ht="25.5" hidden="false" customHeight="true" outlineLevel="0" collapsed="false">
      <c r="A27" s="8" t="s">
        <v>56</v>
      </c>
      <c r="B27" s="5" t="s">
        <v>57</v>
      </c>
    </row>
    <row r="28" customFormat="false" ht="25.5" hidden="false" customHeight="true" outlineLevel="0" collapsed="false">
      <c r="A28" s="8" t="s">
        <v>58</v>
      </c>
      <c r="B28" s="5" t="s">
        <v>59</v>
      </c>
    </row>
    <row r="29" customFormat="false" ht="25.5" hidden="false" customHeight="true" outlineLevel="0" collapsed="false">
      <c r="A29" s="8" t="s">
        <v>60</v>
      </c>
      <c r="B29" s="5" t="s">
        <v>61</v>
      </c>
    </row>
    <row r="30" customFormat="false" ht="25.5" hidden="false" customHeight="true" outlineLevel="0" collapsed="false">
      <c r="A30" s="8" t="s">
        <v>62</v>
      </c>
      <c r="B30" s="5" t="s">
        <v>63</v>
      </c>
    </row>
    <row r="31" customFormat="false" ht="25.5" hidden="false" customHeight="true" outlineLevel="0" collapsed="false">
      <c r="A31" s="8" t="s">
        <v>64</v>
      </c>
      <c r="B31" s="5" t="s">
        <v>65</v>
      </c>
    </row>
    <row r="33" customFormat="false" ht="15" hidden="false" customHeight="false" outlineLevel="0" collapsed="false">
      <c r="A33" s="3" t="s">
        <v>66</v>
      </c>
    </row>
    <row r="34" customFormat="false" ht="42" hidden="false" customHeight="true" outlineLevel="0" collapsed="false">
      <c r="A34" s="9" t="s">
        <v>67</v>
      </c>
      <c r="B34" s="9"/>
    </row>
    <row r="35" customFormat="false" ht="42" hidden="false" customHeight="true" outlineLevel="0" collapsed="false">
      <c r="A35" s="9" t="s">
        <v>68</v>
      </c>
      <c r="B35" s="9"/>
    </row>
  </sheetData>
  <mergeCells count="5">
    <mergeCell ref="A14:B14"/>
    <mergeCell ref="A15:B15"/>
    <mergeCell ref="A16:B16"/>
    <mergeCell ref="A34:B34"/>
    <mergeCell ref="A35: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5"/>
    <col collapsed="false" customWidth="true" hidden="false" outlineLevel="0" max="4" min="4" style="0" width="16"/>
    <col collapsed="false" customWidth="true" hidden="false" outlineLevel="0" max="5" min="5" style="0" width="14"/>
    <col collapsed="false" customWidth="true" hidden="false" outlineLevel="0" max="6" min="6" style="0" width="34"/>
    <col collapsed="false" customWidth="true" hidden="false" outlineLevel="0" max="7" min="7" style="0" width="6"/>
    <col collapsed="false" customWidth="true" hidden="false" outlineLevel="0" max="8" min="8" style="0" width="26"/>
    <col collapsed="false" customWidth="true" hidden="false" outlineLevel="0" max="9" min="9" style="0" width="11"/>
    <col collapsed="false" customWidth="true" hidden="false" outlineLevel="0" max="10" min="10" style="0" width="6"/>
    <col collapsed="false" customWidth="true" hidden="false" outlineLevel="0" max="11" min="11" style="0" width="42"/>
    <col collapsed="false" customWidth="true" hidden="false" outlineLevel="0" max="12" min="12" style="0" width="13"/>
    <col collapsed="false" customWidth="true" hidden="false" outlineLevel="0" max="13" min="13" style="0" width="12"/>
    <col collapsed="false" customWidth="true" hidden="false" outlineLevel="0" max="14" min="14" style="0" width="6"/>
    <col collapsed="false" customWidth="true" hidden="false" outlineLevel="0" max="15" min="15" style="0" width="12"/>
    <col collapsed="false" customWidth="true" hidden="false" outlineLevel="0" max="16" min="16" style="0" width="6"/>
    <col collapsed="false" customWidth="true" hidden="false" outlineLevel="0" max="17" min="17" style="0" width="12"/>
    <col collapsed="false" customWidth="true" hidden="false" outlineLevel="0" max="18" min="18" style="0" width="6"/>
    <col collapsed="false" customWidth="true" hidden="false" outlineLevel="0" max="19" min="19" style="0" width="15"/>
    <col collapsed="false" customWidth="true" hidden="false" outlineLevel="0" max="20" min="20" style="0" width="7"/>
    <col collapsed="false" customWidth="true" hidden="false" outlineLevel="0" max="21" min="21" style="0" width="8"/>
    <col collapsed="false" customWidth="true" hidden="true" outlineLevel="0" max="22" min="22" style="0" width="5"/>
  </cols>
  <sheetData>
    <row r="1" customFormat="false" ht="15" hidden="false" customHeight="false" outlineLevel="0" collapsed="false">
      <c r="A1" s="10" t="s">
        <v>69</v>
      </c>
      <c r="B1" s="10"/>
      <c r="C1" s="10"/>
      <c r="D1" s="10"/>
      <c r="E1" s="10"/>
      <c r="F1" s="10"/>
      <c r="G1" s="10"/>
      <c r="H1" s="10"/>
      <c r="I1" s="10"/>
      <c r="J1" s="10"/>
      <c r="K1" s="10"/>
      <c r="L1" s="10"/>
      <c r="M1" s="10"/>
      <c r="N1" s="10"/>
      <c r="O1" s="10"/>
      <c r="P1" s="10"/>
      <c r="Q1" s="10"/>
      <c r="R1" s="10"/>
      <c r="S1" s="10"/>
      <c r="T1" s="10"/>
      <c r="U1" s="10"/>
    </row>
    <row r="2" customFormat="false" ht="30" hidden="false" customHeight="true" outlineLevel="0" collapsed="false">
      <c r="A2" s="11" t="s">
        <v>70</v>
      </c>
      <c r="B2" s="11" t="s">
        <v>71</v>
      </c>
      <c r="C2" s="11" t="s">
        <v>72</v>
      </c>
      <c r="D2" s="11" t="s">
        <v>73</v>
      </c>
      <c r="E2" s="11" t="s">
        <v>74</v>
      </c>
      <c r="F2" s="11" t="s">
        <v>75</v>
      </c>
      <c r="G2" s="11" t="s">
        <v>76</v>
      </c>
      <c r="H2" s="11" t="s">
        <v>77</v>
      </c>
      <c r="I2" s="11" t="s">
        <v>78</v>
      </c>
      <c r="J2" s="11" t="s">
        <v>79</v>
      </c>
      <c r="K2" s="11" t="s">
        <v>80</v>
      </c>
      <c r="L2" s="11" t="s">
        <v>81</v>
      </c>
      <c r="M2" s="11" t="s">
        <v>82</v>
      </c>
      <c r="N2" s="11" t="s">
        <v>83</v>
      </c>
      <c r="O2" s="11" t="s">
        <v>84</v>
      </c>
      <c r="P2" s="11" t="s">
        <v>85</v>
      </c>
      <c r="Q2" s="11" t="s">
        <v>86</v>
      </c>
      <c r="R2" s="11" t="s">
        <v>87</v>
      </c>
      <c r="S2" s="11" t="s">
        <v>88</v>
      </c>
      <c r="T2" s="11" t="s">
        <v>89</v>
      </c>
      <c r="U2" s="11" t="s">
        <v>90</v>
      </c>
      <c r="V2" s="11" t="s">
        <v>91</v>
      </c>
    </row>
    <row r="3" customFormat="false" ht="15" hidden="false" customHeight="false" outlineLevel="0" collapsed="false">
      <c r="A3" s="12" t="n">
        <f aca="false">IF($F3="","",ROW()-2)</f>
        <v>1</v>
      </c>
      <c r="B3" s="13" t="n">
        <v>46237</v>
      </c>
      <c r="C3" s="14" t="n">
        <v>1</v>
      </c>
      <c r="D3" s="15" t="s">
        <v>92</v>
      </c>
      <c r="E3" s="15" t="s">
        <v>93</v>
      </c>
      <c r="F3" s="15" t="s">
        <v>94</v>
      </c>
      <c r="G3" s="14" t="s">
        <v>95</v>
      </c>
      <c r="H3" s="15" t="s">
        <v>96</v>
      </c>
      <c r="I3" s="14" t="s">
        <v>97</v>
      </c>
      <c r="J3" s="14" t="n">
        <v>18</v>
      </c>
      <c r="K3" s="15" t="s">
        <v>98</v>
      </c>
      <c r="L3" s="15" t="s">
        <v>99</v>
      </c>
      <c r="M3" s="16" t="n">
        <f aca="false">IF($B3="","",$B3+2)</f>
        <v>46239</v>
      </c>
      <c r="N3" s="14" t="s">
        <v>100</v>
      </c>
      <c r="O3" s="16" t="n">
        <f aca="false">IF($B3="","",$B3+5)</f>
        <v>46242</v>
      </c>
      <c r="P3" s="14"/>
      <c r="Q3" s="16" t="n">
        <f aca="false">IF($B3="","",$B3+10)</f>
        <v>46247</v>
      </c>
      <c r="R3" s="14"/>
      <c r="S3" s="17" t="str">
        <f aca="true">IF($B3="","",IF(AND($N3="Y",$P3="Y",$R3="Y"),"Done",IF(OR(AND($M3&lt;=TODAY(),$N3&lt;&gt;"Y"),AND($O3&lt;=TODAY(),$P3&lt;&gt;"Y"),AND($Q3&lt;=TODAY(),$R3&lt;&gt;"Y")),"DUE","Scheduled")))</f>
        <v>Scheduled</v>
      </c>
      <c r="T3" s="14" t="n">
        <v>4</v>
      </c>
      <c r="U3" s="17" t="str">
        <f aca="false">IF($B3="","",IF(OR($T3&lt;=2,$I3="Editorial"),"REDO",""))</f>
        <v/>
      </c>
      <c r="V3" s="18" t="str">
        <f aca="false">IF($S3&lt;&gt;"DUE","",COUNTIF($S$3:$S3,"DUE"))</f>
        <v/>
      </c>
    </row>
    <row r="4" customFormat="false" ht="15" hidden="false" customHeight="false" outlineLevel="0" collapsed="false">
      <c r="A4" s="12" t="str">
        <f aca="false">IF($F4="","",ROW()-2)</f>
        <v/>
      </c>
      <c r="B4" s="19"/>
      <c r="C4" s="20"/>
      <c r="D4" s="21"/>
      <c r="E4" s="21"/>
      <c r="F4" s="21"/>
      <c r="G4" s="20"/>
      <c r="H4" s="21"/>
      <c r="I4" s="20"/>
      <c r="J4" s="20"/>
      <c r="K4" s="21"/>
      <c r="L4" s="21"/>
      <c r="M4" s="22" t="str">
        <f aca="false">IF($B4="","",$B4+2)</f>
        <v/>
      </c>
      <c r="N4" s="20"/>
      <c r="O4" s="22" t="str">
        <f aca="false">IF($B4="","",$B4+5)</f>
        <v/>
      </c>
      <c r="P4" s="20"/>
      <c r="Q4" s="22" t="str">
        <f aca="false">IF($B4="","",$B4+10)</f>
        <v/>
      </c>
      <c r="R4" s="20"/>
      <c r="S4" s="23" t="str">
        <f aca="true">IF($B4="","",IF(AND($N4="Y",$P4="Y",$R4="Y"),"Done",IF(OR(AND($M4&lt;=TODAY(),$N4&lt;&gt;"Y"),AND($O4&lt;=TODAY(),$P4&lt;&gt;"Y"),AND($Q4&lt;=TODAY(),$R4&lt;&gt;"Y")),"DUE","Scheduled")))</f>
        <v/>
      </c>
      <c r="T4" s="20"/>
      <c r="U4" s="23" t="str">
        <f aca="false">IF($B4="","",IF(OR($T4&lt;=2,$I4="Editorial"),"REDO",""))</f>
        <v/>
      </c>
      <c r="V4" s="18" t="str">
        <f aca="false">IF($S4&lt;&gt;"DUE","",COUNTIF($S$3:$S4,"DUE"))</f>
        <v/>
      </c>
    </row>
    <row r="5" customFormat="false" ht="15" hidden="false" customHeight="false" outlineLevel="0" collapsed="false">
      <c r="A5" s="12" t="str">
        <f aca="false">IF($F5="","",ROW()-2)</f>
        <v/>
      </c>
      <c r="B5" s="19"/>
      <c r="C5" s="20"/>
      <c r="D5" s="21"/>
      <c r="E5" s="21"/>
      <c r="F5" s="21"/>
      <c r="G5" s="20"/>
      <c r="H5" s="21"/>
      <c r="I5" s="20"/>
      <c r="J5" s="20"/>
      <c r="K5" s="21"/>
      <c r="L5" s="21"/>
      <c r="M5" s="22" t="str">
        <f aca="false">IF($B5="","",$B5+2)</f>
        <v/>
      </c>
      <c r="N5" s="20"/>
      <c r="O5" s="22" t="str">
        <f aca="false">IF($B5="","",$B5+5)</f>
        <v/>
      </c>
      <c r="P5" s="20"/>
      <c r="Q5" s="22" t="str">
        <f aca="false">IF($B5="","",$B5+10)</f>
        <v/>
      </c>
      <c r="R5" s="20"/>
      <c r="S5" s="23" t="str">
        <f aca="true">IF($B5="","",IF(AND($N5="Y",$P5="Y",$R5="Y"),"Done",IF(OR(AND($M5&lt;=TODAY(),$N5&lt;&gt;"Y"),AND($O5&lt;=TODAY(),$P5&lt;&gt;"Y"),AND($Q5&lt;=TODAY(),$R5&lt;&gt;"Y")),"DUE","Scheduled")))</f>
        <v/>
      </c>
      <c r="T5" s="20"/>
      <c r="U5" s="23" t="str">
        <f aca="false">IF($B5="","",IF(OR($T5&lt;=2,$I5="Editorial"),"REDO",""))</f>
        <v/>
      </c>
      <c r="V5" s="18" t="str">
        <f aca="false">IF($S5&lt;&gt;"DUE","",COUNTIF($S$3:$S5,"DUE"))</f>
        <v/>
      </c>
    </row>
    <row r="6" customFormat="false" ht="15" hidden="false" customHeight="false" outlineLevel="0" collapsed="false">
      <c r="A6" s="12" t="str">
        <f aca="false">IF($F6="","",ROW()-2)</f>
        <v/>
      </c>
      <c r="B6" s="19"/>
      <c r="C6" s="20"/>
      <c r="D6" s="21"/>
      <c r="E6" s="21"/>
      <c r="F6" s="21"/>
      <c r="G6" s="20"/>
      <c r="H6" s="21"/>
      <c r="I6" s="20"/>
      <c r="J6" s="20"/>
      <c r="K6" s="21"/>
      <c r="L6" s="21"/>
      <c r="M6" s="22" t="str">
        <f aca="false">IF($B6="","",$B6+2)</f>
        <v/>
      </c>
      <c r="N6" s="20"/>
      <c r="O6" s="22" t="str">
        <f aca="false">IF($B6="","",$B6+5)</f>
        <v/>
      </c>
      <c r="P6" s="20"/>
      <c r="Q6" s="22" t="str">
        <f aca="false">IF($B6="","",$B6+10)</f>
        <v/>
      </c>
      <c r="R6" s="20"/>
      <c r="S6" s="23" t="str">
        <f aca="true">IF($B6="","",IF(AND($N6="Y",$P6="Y",$R6="Y"),"Done",IF(OR(AND($M6&lt;=TODAY(),$N6&lt;&gt;"Y"),AND($O6&lt;=TODAY(),$P6&lt;&gt;"Y"),AND($Q6&lt;=TODAY(),$R6&lt;&gt;"Y")),"DUE","Scheduled")))</f>
        <v/>
      </c>
      <c r="T6" s="20"/>
      <c r="U6" s="23" t="str">
        <f aca="false">IF($B6="","",IF(OR($T6&lt;=2,$I6="Editorial"),"REDO",""))</f>
        <v/>
      </c>
      <c r="V6" s="18" t="str">
        <f aca="false">IF($S6&lt;&gt;"DUE","",COUNTIF($S$3:$S6,"DUE"))</f>
        <v/>
      </c>
    </row>
    <row r="7" customFormat="false" ht="15" hidden="false" customHeight="false" outlineLevel="0" collapsed="false">
      <c r="A7" s="12" t="str">
        <f aca="false">IF($F7="","",ROW()-2)</f>
        <v/>
      </c>
      <c r="B7" s="19"/>
      <c r="C7" s="20"/>
      <c r="D7" s="21"/>
      <c r="E7" s="21"/>
      <c r="F7" s="21"/>
      <c r="G7" s="20"/>
      <c r="H7" s="21"/>
      <c r="I7" s="20"/>
      <c r="J7" s="20"/>
      <c r="K7" s="21"/>
      <c r="L7" s="21"/>
      <c r="M7" s="22" t="str">
        <f aca="false">IF($B7="","",$B7+2)</f>
        <v/>
      </c>
      <c r="N7" s="20"/>
      <c r="O7" s="22" t="str">
        <f aca="false">IF($B7="","",$B7+5)</f>
        <v/>
      </c>
      <c r="P7" s="20"/>
      <c r="Q7" s="22" t="str">
        <f aca="false">IF($B7="","",$B7+10)</f>
        <v/>
      </c>
      <c r="R7" s="20"/>
      <c r="S7" s="23" t="str">
        <f aca="true">IF($B7="","",IF(AND($N7="Y",$P7="Y",$R7="Y"),"Done",IF(OR(AND($M7&lt;=TODAY(),$N7&lt;&gt;"Y"),AND($O7&lt;=TODAY(),$P7&lt;&gt;"Y"),AND($Q7&lt;=TODAY(),$R7&lt;&gt;"Y")),"DUE","Scheduled")))</f>
        <v/>
      </c>
      <c r="T7" s="20"/>
      <c r="U7" s="23" t="str">
        <f aca="false">IF($B7="","",IF(OR($T7&lt;=2,$I7="Editorial"),"REDO",""))</f>
        <v/>
      </c>
      <c r="V7" s="18" t="str">
        <f aca="false">IF($S7&lt;&gt;"DUE","",COUNTIF($S$3:$S7,"DUE"))</f>
        <v/>
      </c>
    </row>
    <row r="8" customFormat="false" ht="15" hidden="false" customHeight="false" outlineLevel="0" collapsed="false">
      <c r="A8" s="12" t="str">
        <f aca="false">IF($F8="","",ROW()-2)</f>
        <v/>
      </c>
      <c r="B8" s="19"/>
      <c r="C8" s="20"/>
      <c r="D8" s="21"/>
      <c r="E8" s="21"/>
      <c r="F8" s="21"/>
      <c r="G8" s="20"/>
      <c r="H8" s="21"/>
      <c r="I8" s="20"/>
      <c r="J8" s="20"/>
      <c r="K8" s="21"/>
      <c r="L8" s="21"/>
      <c r="M8" s="22" t="str">
        <f aca="false">IF($B8="","",$B8+2)</f>
        <v/>
      </c>
      <c r="N8" s="20"/>
      <c r="O8" s="22" t="str">
        <f aca="false">IF($B8="","",$B8+5)</f>
        <v/>
      </c>
      <c r="P8" s="20"/>
      <c r="Q8" s="22" t="str">
        <f aca="false">IF($B8="","",$B8+10)</f>
        <v/>
      </c>
      <c r="R8" s="20"/>
      <c r="S8" s="23" t="str">
        <f aca="true">IF($B8="","",IF(AND($N8="Y",$P8="Y",$R8="Y"),"Done",IF(OR(AND($M8&lt;=TODAY(),$N8&lt;&gt;"Y"),AND($O8&lt;=TODAY(),$P8&lt;&gt;"Y"),AND($Q8&lt;=TODAY(),$R8&lt;&gt;"Y")),"DUE","Scheduled")))</f>
        <v/>
      </c>
      <c r="T8" s="20"/>
      <c r="U8" s="23" t="str">
        <f aca="false">IF($B8="","",IF(OR($T8&lt;=2,$I8="Editorial"),"REDO",""))</f>
        <v/>
      </c>
      <c r="V8" s="18" t="str">
        <f aca="false">IF($S8&lt;&gt;"DUE","",COUNTIF($S$3:$S8,"DUE"))</f>
        <v/>
      </c>
    </row>
    <row r="9" customFormat="false" ht="15" hidden="false" customHeight="false" outlineLevel="0" collapsed="false">
      <c r="A9" s="12" t="str">
        <f aca="false">IF($F9="","",ROW()-2)</f>
        <v/>
      </c>
      <c r="B9" s="19"/>
      <c r="C9" s="20"/>
      <c r="D9" s="21"/>
      <c r="E9" s="21"/>
      <c r="F9" s="21"/>
      <c r="G9" s="20"/>
      <c r="H9" s="21"/>
      <c r="I9" s="20"/>
      <c r="J9" s="20"/>
      <c r="K9" s="21"/>
      <c r="L9" s="21"/>
      <c r="M9" s="22" t="str">
        <f aca="false">IF($B9="","",$B9+2)</f>
        <v/>
      </c>
      <c r="N9" s="20"/>
      <c r="O9" s="22" t="str">
        <f aca="false">IF($B9="","",$B9+5)</f>
        <v/>
      </c>
      <c r="P9" s="20"/>
      <c r="Q9" s="22" t="str">
        <f aca="false">IF($B9="","",$B9+10)</f>
        <v/>
      </c>
      <c r="R9" s="20"/>
      <c r="S9" s="23" t="str">
        <f aca="true">IF($B9="","",IF(AND($N9="Y",$P9="Y",$R9="Y"),"Done",IF(OR(AND($M9&lt;=TODAY(),$N9&lt;&gt;"Y"),AND($O9&lt;=TODAY(),$P9&lt;&gt;"Y"),AND($Q9&lt;=TODAY(),$R9&lt;&gt;"Y")),"DUE","Scheduled")))</f>
        <v/>
      </c>
      <c r="T9" s="20"/>
      <c r="U9" s="23" t="str">
        <f aca="false">IF($B9="","",IF(OR($T9&lt;=2,$I9="Editorial"),"REDO",""))</f>
        <v/>
      </c>
      <c r="V9" s="18" t="str">
        <f aca="false">IF($S9&lt;&gt;"DUE","",COUNTIF($S$3:$S9,"DUE"))</f>
        <v/>
      </c>
    </row>
    <row r="10" customFormat="false" ht="15" hidden="false" customHeight="false" outlineLevel="0" collapsed="false">
      <c r="A10" s="12" t="str">
        <f aca="false">IF($F10="","",ROW()-2)</f>
        <v/>
      </c>
      <c r="B10" s="19"/>
      <c r="C10" s="20"/>
      <c r="D10" s="21"/>
      <c r="E10" s="21"/>
      <c r="F10" s="21"/>
      <c r="G10" s="20"/>
      <c r="H10" s="21"/>
      <c r="I10" s="20"/>
      <c r="J10" s="20"/>
      <c r="K10" s="21"/>
      <c r="L10" s="21"/>
      <c r="M10" s="22" t="str">
        <f aca="false">IF($B10="","",$B10+2)</f>
        <v/>
      </c>
      <c r="N10" s="20"/>
      <c r="O10" s="22" t="str">
        <f aca="false">IF($B10="","",$B10+5)</f>
        <v/>
      </c>
      <c r="P10" s="20"/>
      <c r="Q10" s="22" t="str">
        <f aca="false">IF($B10="","",$B10+10)</f>
        <v/>
      </c>
      <c r="R10" s="20"/>
      <c r="S10" s="23" t="str">
        <f aca="true">IF($B10="","",IF(AND($N10="Y",$P10="Y",$R10="Y"),"Done",IF(OR(AND($M10&lt;=TODAY(),$N10&lt;&gt;"Y"),AND($O10&lt;=TODAY(),$P10&lt;&gt;"Y"),AND($Q10&lt;=TODAY(),$R10&lt;&gt;"Y")),"DUE","Scheduled")))</f>
        <v/>
      </c>
      <c r="T10" s="20"/>
      <c r="U10" s="23" t="str">
        <f aca="false">IF($B10="","",IF(OR($T10&lt;=2,$I10="Editorial"),"REDO",""))</f>
        <v/>
      </c>
      <c r="V10" s="18" t="str">
        <f aca="false">IF($S10&lt;&gt;"DUE","",COUNTIF($S$3:$S10,"DUE"))</f>
        <v/>
      </c>
    </row>
    <row r="11" customFormat="false" ht="15" hidden="false" customHeight="false" outlineLevel="0" collapsed="false">
      <c r="A11" s="12" t="str">
        <f aca="false">IF($F11="","",ROW()-2)</f>
        <v/>
      </c>
      <c r="B11" s="19"/>
      <c r="C11" s="20"/>
      <c r="D11" s="21"/>
      <c r="E11" s="21"/>
      <c r="F11" s="21"/>
      <c r="G11" s="20"/>
      <c r="H11" s="21"/>
      <c r="I11" s="20"/>
      <c r="J11" s="20"/>
      <c r="K11" s="21"/>
      <c r="L11" s="21"/>
      <c r="M11" s="22" t="str">
        <f aca="false">IF($B11="","",$B11+2)</f>
        <v/>
      </c>
      <c r="N11" s="20"/>
      <c r="O11" s="22" t="str">
        <f aca="false">IF($B11="","",$B11+5)</f>
        <v/>
      </c>
      <c r="P11" s="20"/>
      <c r="Q11" s="22" t="str">
        <f aca="false">IF($B11="","",$B11+10)</f>
        <v/>
      </c>
      <c r="R11" s="20"/>
      <c r="S11" s="23" t="str">
        <f aca="true">IF($B11="","",IF(AND($N11="Y",$P11="Y",$R11="Y"),"Done",IF(OR(AND($M11&lt;=TODAY(),$N11&lt;&gt;"Y"),AND($O11&lt;=TODAY(),$P11&lt;&gt;"Y"),AND($Q11&lt;=TODAY(),$R11&lt;&gt;"Y")),"DUE","Scheduled")))</f>
        <v/>
      </c>
      <c r="T11" s="20"/>
      <c r="U11" s="23" t="str">
        <f aca="false">IF($B11="","",IF(OR($T11&lt;=2,$I11="Editorial"),"REDO",""))</f>
        <v/>
      </c>
      <c r="V11" s="18" t="str">
        <f aca="false">IF($S11&lt;&gt;"DUE","",COUNTIF($S$3:$S11,"DUE"))</f>
        <v/>
      </c>
    </row>
    <row r="12" customFormat="false" ht="15" hidden="false" customHeight="false" outlineLevel="0" collapsed="false">
      <c r="A12" s="12" t="str">
        <f aca="false">IF($F12="","",ROW()-2)</f>
        <v/>
      </c>
      <c r="B12" s="19"/>
      <c r="C12" s="20"/>
      <c r="D12" s="21"/>
      <c r="E12" s="21"/>
      <c r="F12" s="21"/>
      <c r="G12" s="20"/>
      <c r="H12" s="21"/>
      <c r="I12" s="20"/>
      <c r="J12" s="20"/>
      <c r="K12" s="21"/>
      <c r="L12" s="21"/>
      <c r="M12" s="22" t="str">
        <f aca="false">IF($B12="","",$B12+2)</f>
        <v/>
      </c>
      <c r="N12" s="20"/>
      <c r="O12" s="22" t="str">
        <f aca="false">IF($B12="","",$B12+5)</f>
        <v/>
      </c>
      <c r="P12" s="20"/>
      <c r="Q12" s="22" t="str">
        <f aca="false">IF($B12="","",$B12+10)</f>
        <v/>
      </c>
      <c r="R12" s="20"/>
      <c r="S12" s="23" t="str">
        <f aca="true">IF($B12="","",IF(AND($N12="Y",$P12="Y",$R12="Y"),"Done",IF(OR(AND($M12&lt;=TODAY(),$N12&lt;&gt;"Y"),AND($O12&lt;=TODAY(),$P12&lt;&gt;"Y"),AND($Q12&lt;=TODAY(),$R12&lt;&gt;"Y")),"DUE","Scheduled")))</f>
        <v/>
      </c>
      <c r="T12" s="20"/>
      <c r="U12" s="23" t="str">
        <f aca="false">IF($B12="","",IF(OR($T12&lt;=2,$I12="Editorial"),"REDO",""))</f>
        <v/>
      </c>
      <c r="V12" s="18" t="str">
        <f aca="false">IF($S12&lt;&gt;"DUE","",COUNTIF($S$3:$S12,"DUE"))</f>
        <v/>
      </c>
    </row>
    <row r="13" customFormat="false" ht="15" hidden="false" customHeight="false" outlineLevel="0" collapsed="false">
      <c r="A13" s="12" t="str">
        <f aca="false">IF($F13="","",ROW()-2)</f>
        <v/>
      </c>
      <c r="B13" s="19"/>
      <c r="C13" s="20"/>
      <c r="D13" s="21"/>
      <c r="E13" s="21"/>
      <c r="F13" s="21"/>
      <c r="G13" s="20"/>
      <c r="H13" s="21"/>
      <c r="I13" s="20"/>
      <c r="J13" s="20"/>
      <c r="K13" s="21"/>
      <c r="L13" s="21"/>
      <c r="M13" s="22" t="str">
        <f aca="false">IF($B13="","",$B13+2)</f>
        <v/>
      </c>
      <c r="N13" s="20"/>
      <c r="O13" s="22" t="str">
        <f aca="false">IF($B13="","",$B13+5)</f>
        <v/>
      </c>
      <c r="P13" s="20"/>
      <c r="Q13" s="22" t="str">
        <f aca="false">IF($B13="","",$B13+10)</f>
        <v/>
      </c>
      <c r="R13" s="20"/>
      <c r="S13" s="23" t="str">
        <f aca="true">IF($B13="","",IF(AND($N13="Y",$P13="Y",$R13="Y"),"Done",IF(OR(AND($M13&lt;=TODAY(),$N13&lt;&gt;"Y"),AND($O13&lt;=TODAY(),$P13&lt;&gt;"Y"),AND($Q13&lt;=TODAY(),$R13&lt;&gt;"Y")),"DUE","Scheduled")))</f>
        <v/>
      </c>
      <c r="T13" s="20"/>
      <c r="U13" s="23" t="str">
        <f aca="false">IF($B13="","",IF(OR($T13&lt;=2,$I13="Editorial"),"REDO",""))</f>
        <v/>
      </c>
      <c r="V13" s="18" t="str">
        <f aca="false">IF($S13&lt;&gt;"DUE","",COUNTIF($S$3:$S13,"DUE"))</f>
        <v/>
      </c>
    </row>
    <row r="14" customFormat="false" ht="15" hidden="false" customHeight="false" outlineLevel="0" collapsed="false">
      <c r="A14" s="12" t="str">
        <f aca="false">IF($F14="","",ROW()-2)</f>
        <v/>
      </c>
      <c r="B14" s="19"/>
      <c r="C14" s="20"/>
      <c r="D14" s="21"/>
      <c r="E14" s="21"/>
      <c r="F14" s="21"/>
      <c r="G14" s="20"/>
      <c r="H14" s="21"/>
      <c r="I14" s="20"/>
      <c r="J14" s="20"/>
      <c r="K14" s="21"/>
      <c r="L14" s="21"/>
      <c r="M14" s="22" t="str">
        <f aca="false">IF($B14="","",$B14+2)</f>
        <v/>
      </c>
      <c r="N14" s="20"/>
      <c r="O14" s="22" t="str">
        <f aca="false">IF($B14="","",$B14+5)</f>
        <v/>
      </c>
      <c r="P14" s="20"/>
      <c r="Q14" s="22" t="str">
        <f aca="false">IF($B14="","",$B14+10)</f>
        <v/>
      </c>
      <c r="R14" s="20"/>
      <c r="S14" s="23" t="str">
        <f aca="true">IF($B14="","",IF(AND($N14="Y",$P14="Y",$R14="Y"),"Done",IF(OR(AND($M14&lt;=TODAY(),$N14&lt;&gt;"Y"),AND($O14&lt;=TODAY(),$P14&lt;&gt;"Y"),AND($Q14&lt;=TODAY(),$R14&lt;&gt;"Y")),"DUE","Scheduled")))</f>
        <v/>
      </c>
      <c r="T14" s="20"/>
      <c r="U14" s="23" t="str">
        <f aca="false">IF($B14="","",IF(OR($T14&lt;=2,$I14="Editorial"),"REDO",""))</f>
        <v/>
      </c>
      <c r="V14" s="18" t="str">
        <f aca="false">IF($S14&lt;&gt;"DUE","",COUNTIF($S$3:$S14,"DUE"))</f>
        <v/>
      </c>
    </row>
    <row r="15" customFormat="false" ht="15" hidden="false" customHeight="false" outlineLevel="0" collapsed="false">
      <c r="A15" s="12" t="str">
        <f aca="false">IF($F15="","",ROW()-2)</f>
        <v/>
      </c>
      <c r="B15" s="19"/>
      <c r="C15" s="20"/>
      <c r="D15" s="21"/>
      <c r="E15" s="21"/>
      <c r="F15" s="21"/>
      <c r="G15" s="20"/>
      <c r="H15" s="21"/>
      <c r="I15" s="20"/>
      <c r="J15" s="20"/>
      <c r="K15" s="21"/>
      <c r="L15" s="21"/>
      <c r="M15" s="22" t="str">
        <f aca="false">IF($B15="","",$B15+2)</f>
        <v/>
      </c>
      <c r="N15" s="20"/>
      <c r="O15" s="22" t="str">
        <f aca="false">IF($B15="","",$B15+5)</f>
        <v/>
      </c>
      <c r="P15" s="20"/>
      <c r="Q15" s="22" t="str">
        <f aca="false">IF($B15="","",$B15+10)</f>
        <v/>
      </c>
      <c r="R15" s="20"/>
      <c r="S15" s="23" t="str">
        <f aca="true">IF($B15="","",IF(AND($N15="Y",$P15="Y",$R15="Y"),"Done",IF(OR(AND($M15&lt;=TODAY(),$N15&lt;&gt;"Y"),AND($O15&lt;=TODAY(),$P15&lt;&gt;"Y"),AND($Q15&lt;=TODAY(),$R15&lt;&gt;"Y")),"DUE","Scheduled")))</f>
        <v/>
      </c>
      <c r="T15" s="20"/>
      <c r="U15" s="23" t="str">
        <f aca="false">IF($B15="","",IF(OR($T15&lt;=2,$I15="Editorial"),"REDO",""))</f>
        <v/>
      </c>
      <c r="V15" s="18" t="str">
        <f aca="false">IF($S15&lt;&gt;"DUE","",COUNTIF($S$3:$S15,"DUE"))</f>
        <v/>
      </c>
    </row>
    <row r="16" customFormat="false" ht="15" hidden="false" customHeight="false" outlineLevel="0" collapsed="false">
      <c r="A16" s="12" t="str">
        <f aca="false">IF($F16="","",ROW()-2)</f>
        <v/>
      </c>
      <c r="B16" s="19"/>
      <c r="C16" s="20"/>
      <c r="D16" s="21"/>
      <c r="E16" s="21"/>
      <c r="F16" s="21"/>
      <c r="G16" s="20"/>
      <c r="H16" s="21"/>
      <c r="I16" s="20"/>
      <c r="J16" s="20"/>
      <c r="K16" s="21"/>
      <c r="L16" s="21"/>
      <c r="M16" s="22" t="str">
        <f aca="false">IF($B16="","",$B16+2)</f>
        <v/>
      </c>
      <c r="N16" s="20"/>
      <c r="O16" s="22" t="str">
        <f aca="false">IF($B16="","",$B16+5)</f>
        <v/>
      </c>
      <c r="P16" s="20"/>
      <c r="Q16" s="22" t="str">
        <f aca="false">IF($B16="","",$B16+10)</f>
        <v/>
      </c>
      <c r="R16" s="20"/>
      <c r="S16" s="23" t="str">
        <f aca="true">IF($B16="","",IF(AND($N16="Y",$P16="Y",$R16="Y"),"Done",IF(OR(AND($M16&lt;=TODAY(),$N16&lt;&gt;"Y"),AND($O16&lt;=TODAY(),$P16&lt;&gt;"Y"),AND($Q16&lt;=TODAY(),$R16&lt;&gt;"Y")),"DUE","Scheduled")))</f>
        <v/>
      </c>
      <c r="T16" s="20"/>
      <c r="U16" s="23" t="str">
        <f aca="false">IF($B16="","",IF(OR($T16&lt;=2,$I16="Editorial"),"REDO",""))</f>
        <v/>
      </c>
      <c r="V16" s="18" t="str">
        <f aca="false">IF($S16&lt;&gt;"DUE","",COUNTIF($S$3:$S16,"DUE"))</f>
        <v/>
      </c>
    </row>
    <row r="17" customFormat="false" ht="15" hidden="false" customHeight="false" outlineLevel="0" collapsed="false">
      <c r="A17" s="12" t="str">
        <f aca="false">IF($F17="","",ROW()-2)</f>
        <v/>
      </c>
      <c r="B17" s="19"/>
      <c r="C17" s="20"/>
      <c r="D17" s="21"/>
      <c r="E17" s="21"/>
      <c r="F17" s="21"/>
      <c r="G17" s="20"/>
      <c r="H17" s="21"/>
      <c r="I17" s="20"/>
      <c r="J17" s="20"/>
      <c r="K17" s="21"/>
      <c r="L17" s="21"/>
      <c r="M17" s="22" t="str">
        <f aca="false">IF($B17="","",$B17+2)</f>
        <v/>
      </c>
      <c r="N17" s="20"/>
      <c r="O17" s="22" t="str">
        <f aca="false">IF($B17="","",$B17+5)</f>
        <v/>
      </c>
      <c r="P17" s="20"/>
      <c r="Q17" s="22" t="str">
        <f aca="false">IF($B17="","",$B17+10)</f>
        <v/>
      </c>
      <c r="R17" s="20"/>
      <c r="S17" s="23" t="str">
        <f aca="true">IF($B17="","",IF(AND($N17="Y",$P17="Y",$R17="Y"),"Done",IF(OR(AND($M17&lt;=TODAY(),$N17&lt;&gt;"Y"),AND($O17&lt;=TODAY(),$P17&lt;&gt;"Y"),AND($Q17&lt;=TODAY(),$R17&lt;&gt;"Y")),"DUE","Scheduled")))</f>
        <v/>
      </c>
      <c r="T17" s="20"/>
      <c r="U17" s="23" t="str">
        <f aca="false">IF($B17="","",IF(OR($T17&lt;=2,$I17="Editorial"),"REDO",""))</f>
        <v/>
      </c>
      <c r="V17" s="18" t="str">
        <f aca="false">IF($S17&lt;&gt;"DUE","",COUNTIF($S$3:$S17,"DUE"))</f>
        <v/>
      </c>
    </row>
    <row r="18" customFormat="false" ht="15" hidden="false" customHeight="false" outlineLevel="0" collapsed="false">
      <c r="A18" s="12" t="str">
        <f aca="false">IF($F18="","",ROW()-2)</f>
        <v/>
      </c>
      <c r="B18" s="19"/>
      <c r="C18" s="20"/>
      <c r="D18" s="21"/>
      <c r="E18" s="21"/>
      <c r="F18" s="21"/>
      <c r="G18" s="20"/>
      <c r="H18" s="21"/>
      <c r="I18" s="20"/>
      <c r="J18" s="20"/>
      <c r="K18" s="21"/>
      <c r="L18" s="21"/>
      <c r="M18" s="22" t="str">
        <f aca="false">IF($B18="","",$B18+2)</f>
        <v/>
      </c>
      <c r="N18" s="20"/>
      <c r="O18" s="22" t="str">
        <f aca="false">IF($B18="","",$B18+5)</f>
        <v/>
      </c>
      <c r="P18" s="20"/>
      <c r="Q18" s="22" t="str">
        <f aca="false">IF($B18="","",$B18+10)</f>
        <v/>
      </c>
      <c r="R18" s="20"/>
      <c r="S18" s="23" t="str">
        <f aca="true">IF($B18="","",IF(AND($N18="Y",$P18="Y",$R18="Y"),"Done",IF(OR(AND($M18&lt;=TODAY(),$N18&lt;&gt;"Y"),AND($O18&lt;=TODAY(),$P18&lt;&gt;"Y"),AND($Q18&lt;=TODAY(),$R18&lt;&gt;"Y")),"DUE","Scheduled")))</f>
        <v/>
      </c>
      <c r="T18" s="20"/>
      <c r="U18" s="23" t="str">
        <f aca="false">IF($B18="","",IF(OR($T18&lt;=2,$I18="Editorial"),"REDO",""))</f>
        <v/>
      </c>
      <c r="V18" s="18" t="str">
        <f aca="false">IF($S18&lt;&gt;"DUE","",COUNTIF($S$3:$S18,"DUE"))</f>
        <v/>
      </c>
    </row>
    <row r="19" customFormat="false" ht="15" hidden="false" customHeight="false" outlineLevel="0" collapsed="false">
      <c r="A19" s="12" t="str">
        <f aca="false">IF($F19="","",ROW()-2)</f>
        <v/>
      </c>
      <c r="B19" s="19"/>
      <c r="C19" s="20"/>
      <c r="D19" s="21"/>
      <c r="E19" s="21"/>
      <c r="F19" s="21"/>
      <c r="G19" s="20"/>
      <c r="H19" s="21"/>
      <c r="I19" s="20"/>
      <c r="J19" s="20"/>
      <c r="K19" s="21"/>
      <c r="L19" s="21"/>
      <c r="M19" s="22" t="str">
        <f aca="false">IF($B19="","",$B19+2)</f>
        <v/>
      </c>
      <c r="N19" s="20"/>
      <c r="O19" s="22" t="str">
        <f aca="false">IF($B19="","",$B19+5)</f>
        <v/>
      </c>
      <c r="P19" s="20"/>
      <c r="Q19" s="22" t="str">
        <f aca="false">IF($B19="","",$B19+10)</f>
        <v/>
      </c>
      <c r="R19" s="20"/>
      <c r="S19" s="23" t="str">
        <f aca="true">IF($B19="","",IF(AND($N19="Y",$P19="Y",$R19="Y"),"Done",IF(OR(AND($M19&lt;=TODAY(),$N19&lt;&gt;"Y"),AND($O19&lt;=TODAY(),$P19&lt;&gt;"Y"),AND($Q19&lt;=TODAY(),$R19&lt;&gt;"Y")),"DUE","Scheduled")))</f>
        <v/>
      </c>
      <c r="T19" s="20"/>
      <c r="U19" s="23" t="str">
        <f aca="false">IF($B19="","",IF(OR($T19&lt;=2,$I19="Editorial"),"REDO",""))</f>
        <v/>
      </c>
      <c r="V19" s="18" t="str">
        <f aca="false">IF($S19&lt;&gt;"DUE","",COUNTIF($S$3:$S19,"DUE"))</f>
        <v/>
      </c>
    </row>
    <row r="20" customFormat="false" ht="15" hidden="false" customHeight="false" outlineLevel="0" collapsed="false">
      <c r="A20" s="12" t="str">
        <f aca="false">IF($F20="","",ROW()-2)</f>
        <v/>
      </c>
      <c r="B20" s="19"/>
      <c r="C20" s="20"/>
      <c r="D20" s="21"/>
      <c r="E20" s="21"/>
      <c r="F20" s="21"/>
      <c r="G20" s="20"/>
      <c r="H20" s="21"/>
      <c r="I20" s="20"/>
      <c r="J20" s="20"/>
      <c r="K20" s="21"/>
      <c r="L20" s="21"/>
      <c r="M20" s="22" t="str">
        <f aca="false">IF($B20="","",$B20+2)</f>
        <v/>
      </c>
      <c r="N20" s="20"/>
      <c r="O20" s="22" t="str">
        <f aca="false">IF($B20="","",$B20+5)</f>
        <v/>
      </c>
      <c r="P20" s="20"/>
      <c r="Q20" s="22" t="str">
        <f aca="false">IF($B20="","",$B20+10)</f>
        <v/>
      </c>
      <c r="R20" s="20"/>
      <c r="S20" s="23" t="str">
        <f aca="true">IF($B20="","",IF(AND($N20="Y",$P20="Y",$R20="Y"),"Done",IF(OR(AND($M20&lt;=TODAY(),$N20&lt;&gt;"Y"),AND($O20&lt;=TODAY(),$P20&lt;&gt;"Y"),AND($Q20&lt;=TODAY(),$R20&lt;&gt;"Y")),"DUE","Scheduled")))</f>
        <v/>
      </c>
      <c r="T20" s="20"/>
      <c r="U20" s="23" t="str">
        <f aca="false">IF($B20="","",IF(OR($T20&lt;=2,$I20="Editorial"),"REDO",""))</f>
        <v/>
      </c>
      <c r="V20" s="18" t="str">
        <f aca="false">IF($S20&lt;&gt;"DUE","",COUNTIF($S$3:$S20,"DUE"))</f>
        <v/>
      </c>
    </row>
    <row r="21" customFormat="false" ht="15" hidden="false" customHeight="false" outlineLevel="0" collapsed="false">
      <c r="A21" s="12" t="str">
        <f aca="false">IF($F21="","",ROW()-2)</f>
        <v/>
      </c>
      <c r="B21" s="19"/>
      <c r="C21" s="20"/>
      <c r="D21" s="21"/>
      <c r="E21" s="21"/>
      <c r="F21" s="21"/>
      <c r="G21" s="20"/>
      <c r="H21" s="21"/>
      <c r="I21" s="20"/>
      <c r="J21" s="20"/>
      <c r="K21" s="21"/>
      <c r="L21" s="21"/>
      <c r="M21" s="22" t="str">
        <f aca="false">IF($B21="","",$B21+2)</f>
        <v/>
      </c>
      <c r="N21" s="20"/>
      <c r="O21" s="22" t="str">
        <f aca="false">IF($B21="","",$B21+5)</f>
        <v/>
      </c>
      <c r="P21" s="20"/>
      <c r="Q21" s="22" t="str">
        <f aca="false">IF($B21="","",$B21+10)</f>
        <v/>
      </c>
      <c r="R21" s="20"/>
      <c r="S21" s="23" t="str">
        <f aca="true">IF($B21="","",IF(AND($N21="Y",$P21="Y",$R21="Y"),"Done",IF(OR(AND($M21&lt;=TODAY(),$N21&lt;&gt;"Y"),AND($O21&lt;=TODAY(),$P21&lt;&gt;"Y"),AND($Q21&lt;=TODAY(),$R21&lt;&gt;"Y")),"DUE","Scheduled")))</f>
        <v/>
      </c>
      <c r="T21" s="20"/>
      <c r="U21" s="23" t="str">
        <f aca="false">IF($B21="","",IF(OR($T21&lt;=2,$I21="Editorial"),"REDO",""))</f>
        <v/>
      </c>
      <c r="V21" s="18" t="str">
        <f aca="false">IF($S21&lt;&gt;"DUE","",COUNTIF($S$3:$S21,"DUE"))</f>
        <v/>
      </c>
    </row>
    <row r="22" customFormat="false" ht="15" hidden="false" customHeight="false" outlineLevel="0" collapsed="false">
      <c r="A22" s="12" t="str">
        <f aca="false">IF($F22="","",ROW()-2)</f>
        <v/>
      </c>
      <c r="B22" s="19"/>
      <c r="C22" s="20"/>
      <c r="D22" s="21"/>
      <c r="E22" s="21"/>
      <c r="F22" s="21"/>
      <c r="G22" s="20"/>
      <c r="H22" s="21"/>
      <c r="I22" s="20"/>
      <c r="J22" s="20"/>
      <c r="K22" s="21"/>
      <c r="L22" s="21"/>
      <c r="M22" s="22" t="str">
        <f aca="false">IF($B22="","",$B22+2)</f>
        <v/>
      </c>
      <c r="N22" s="20"/>
      <c r="O22" s="22" t="str">
        <f aca="false">IF($B22="","",$B22+5)</f>
        <v/>
      </c>
      <c r="P22" s="20"/>
      <c r="Q22" s="22" t="str">
        <f aca="false">IF($B22="","",$B22+10)</f>
        <v/>
      </c>
      <c r="R22" s="20"/>
      <c r="S22" s="23" t="str">
        <f aca="true">IF($B22="","",IF(AND($N22="Y",$P22="Y",$R22="Y"),"Done",IF(OR(AND($M22&lt;=TODAY(),$N22&lt;&gt;"Y"),AND($O22&lt;=TODAY(),$P22&lt;&gt;"Y"),AND($Q22&lt;=TODAY(),$R22&lt;&gt;"Y")),"DUE","Scheduled")))</f>
        <v/>
      </c>
      <c r="T22" s="20"/>
      <c r="U22" s="23" t="str">
        <f aca="false">IF($B22="","",IF(OR($T22&lt;=2,$I22="Editorial"),"REDO",""))</f>
        <v/>
      </c>
      <c r="V22" s="18" t="str">
        <f aca="false">IF($S22&lt;&gt;"DUE","",COUNTIF($S$3:$S22,"DUE"))</f>
        <v/>
      </c>
    </row>
    <row r="23" customFormat="false" ht="15" hidden="false" customHeight="false" outlineLevel="0" collapsed="false">
      <c r="A23" s="12" t="str">
        <f aca="false">IF($F23="","",ROW()-2)</f>
        <v/>
      </c>
      <c r="B23" s="19"/>
      <c r="C23" s="20"/>
      <c r="D23" s="21"/>
      <c r="E23" s="21"/>
      <c r="F23" s="21"/>
      <c r="G23" s="20"/>
      <c r="H23" s="21"/>
      <c r="I23" s="20"/>
      <c r="J23" s="20"/>
      <c r="K23" s="21"/>
      <c r="L23" s="21"/>
      <c r="M23" s="22" t="str">
        <f aca="false">IF($B23="","",$B23+2)</f>
        <v/>
      </c>
      <c r="N23" s="20"/>
      <c r="O23" s="22" t="str">
        <f aca="false">IF($B23="","",$B23+5)</f>
        <v/>
      </c>
      <c r="P23" s="20"/>
      <c r="Q23" s="22" t="str">
        <f aca="false">IF($B23="","",$B23+10)</f>
        <v/>
      </c>
      <c r="R23" s="20"/>
      <c r="S23" s="23" t="str">
        <f aca="true">IF($B23="","",IF(AND($N23="Y",$P23="Y",$R23="Y"),"Done",IF(OR(AND($M23&lt;=TODAY(),$N23&lt;&gt;"Y"),AND($O23&lt;=TODAY(),$P23&lt;&gt;"Y"),AND($Q23&lt;=TODAY(),$R23&lt;&gt;"Y")),"DUE","Scheduled")))</f>
        <v/>
      </c>
      <c r="T23" s="20"/>
      <c r="U23" s="23" t="str">
        <f aca="false">IF($B23="","",IF(OR($T23&lt;=2,$I23="Editorial"),"REDO",""))</f>
        <v/>
      </c>
      <c r="V23" s="18" t="str">
        <f aca="false">IF($S23&lt;&gt;"DUE","",COUNTIF($S$3:$S23,"DUE"))</f>
        <v/>
      </c>
    </row>
    <row r="24" customFormat="false" ht="15" hidden="false" customHeight="false" outlineLevel="0" collapsed="false">
      <c r="A24" s="12" t="str">
        <f aca="false">IF($F24="","",ROW()-2)</f>
        <v/>
      </c>
      <c r="B24" s="19"/>
      <c r="C24" s="20"/>
      <c r="D24" s="21"/>
      <c r="E24" s="21"/>
      <c r="F24" s="21"/>
      <c r="G24" s="20"/>
      <c r="H24" s="21"/>
      <c r="I24" s="20"/>
      <c r="J24" s="20"/>
      <c r="K24" s="21"/>
      <c r="L24" s="21"/>
      <c r="M24" s="22" t="str">
        <f aca="false">IF($B24="","",$B24+2)</f>
        <v/>
      </c>
      <c r="N24" s="20"/>
      <c r="O24" s="22" t="str">
        <f aca="false">IF($B24="","",$B24+5)</f>
        <v/>
      </c>
      <c r="P24" s="20"/>
      <c r="Q24" s="22" t="str">
        <f aca="false">IF($B24="","",$B24+10)</f>
        <v/>
      </c>
      <c r="R24" s="20"/>
      <c r="S24" s="23" t="str">
        <f aca="true">IF($B24="","",IF(AND($N24="Y",$P24="Y",$R24="Y"),"Done",IF(OR(AND($M24&lt;=TODAY(),$N24&lt;&gt;"Y"),AND($O24&lt;=TODAY(),$P24&lt;&gt;"Y"),AND($Q24&lt;=TODAY(),$R24&lt;&gt;"Y")),"DUE","Scheduled")))</f>
        <v/>
      </c>
      <c r="T24" s="20"/>
      <c r="U24" s="23" t="str">
        <f aca="false">IF($B24="","",IF(OR($T24&lt;=2,$I24="Editorial"),"REDO",""))</f>
        <v/>
      </c>
      <c r="V24" s="18" t="str">
        <f aca="false">IF($S24&lt;&gt;"DUE","",COUNTIF($S$3:$S24,"DUE"))</f>
        <v/>
      </c>
    </row>
    <row r="25" customFormat="false" ht="15" hidden="false" customHeight="false" outlineLevel="0" collapsed="false">
      <c r="A25" s="12" t="str">
        <f aca="false">IF($F25="","",ROW()-2)</f>
        <v/>
      </c>
      <c r="B25" s="19"/>
      <c r="C25" s="20"/>
      <c r="D25" s="21"/>
      <c r="E25" s="21"/>
      <c r="F25" s="21"/>
      <c r="G25" s="20"/>
      <c r="H25" s="21"/>
      <c r="I25" s="20"/>
      <c r="J25" s="20"/>
      <c r="K25" s="21"/>
      <c r="L25" s="21"/>
      <c r="M25" s="22" t="str">
        <f aca="false">IF($B25="","",$B25+2)</f>
        <v/>
      </c>
      <c r="N25" s="20"/>
      <c r="O25" s="22" t="str">
        <f aca="false">IF($B25="","",$B25+5)</f>
        <v/>
      </c>
      <c r="P25" s="20"/>
      <c r="Q25" s="22" t="str">
        <f aca="false">IF($B25="","",$B25+10)</f>
        <v/>
      </c>
      <c r="R25" s="20"/>
      <c r="S25" s="23" t="str">
        <f aca="true">IF($B25="","",IF(AND($N25="Y",$P25="Y",$R25="Y"),"Done",IF(OR(AND($M25&lt;=TODAY(),$N25&lt;&gt;"Y"),AND($O25&lt;=TODAY(),$P25&lt;&gt;"Y"),AND($Q25&lt;=TODAY(),$R25&lt;&gt;"Y")),"DUE","Scheduled")))</f>
        <v/>
      </c>
      <c r="T25" s="20"/>
      <c r="U25" s="23" t="str">
        <f aca="false">IF($B25="","",IF(OR($T25&lt;=2,$I25="Editorial"),"REDO",""))</f>
        <v/>
      </c>
      <c r="V25" s="18" t="str">
        <f aca="false">IF($S25&lt;&gt;"DUE","",COUNTIF($S$3:$S25,"DUE"))</f>
        <v/>
      </c>
    </row>
    <row r="26" customFormat="false" ht="15" hidden="false" customHeight="false" outlineLevel="0" collapsed="false">
      <c r="A26" s="12" t="str">
        <f aca="false">IF($F26="","",ROW()-2)</f>
        <v/>
      </c>
      <c r="B26" s="19"/>
      <c r="C26" s="20"/>
      <c r="D26" s="21"/>
      <c r="E26" s="21"/>
      <c r="F26" s="21"/>
      <c r="G26" s="20"/>
      <c r="H26" s="21"/>
      <c r="I26" s="20"/>
      <c r="J26" s="20"/>
      <c r="K26" s="21"/>
      <c r="L26" s="21"/>
      <c r="M26" s="22" t="str">
        <f aca="false">IF($B26="","",$B26+2)</f>
        <v/>
      </c>
      <c r="N26" s="20"/>
      <c r="O26" s="22" t="str">
        <f aca="false">IF($B26="","",$B26+5)</f>
        <v/>
      </c>
      <c r="P26" s="20"/>
      <c r="Q26" s="22" t="str">
        <f aca="false">IF($B26="","",$B26+10)</f>
        <v/>
      </c>
      <c r="R26" s="20"/>
      <c r="S26" s="23" t="str">
        <f aca="true">IF($B26="","",IF(AND($N26="Y",$P26="Y",$R26="Y"),"Done",IF(OR(AND($M26&lt;=TODAY(),$N26&lt;&gt;"Y"),AND($O26&lt;=TODAY(),$P26&lt;&gt;"Y"),AND($Q26&lt;=TODAY(),$R26&lt;&gt;"Y")),"DUE","Scheduled")))</f>
        <v/>
      </c>
      <c r="T26" s="20"/>
      <c r="U26" s="23" t="str">
        <f aca="false">IF($B26="","",IF(OR($T26&lt;=2,$I26="Editorial"),"REDO",""))</f>
        <v/>
      </c>
      <c r="V26" s="18" t="str">
        <f aca="false">IF($S26&lt;&gt;"DUE","",COUNTIF($S$3:$S26,"DUE"))</f>
        <v/>
      </c>
    </row>
    <row r="27" customFormat="false" ht="15" hidden="false" customHeight="false" outlineLevel="0" collapsed="false">
      <c r="A27" s="12" t="str">
        <f aca="false">IF($F27="","",ROW()-2)</f>
        <v/>
      </c>
      <c r="B27" s="19"/>
      <c r="C27" s="20"/>
      <c r="D27" s="21"/>
      <c r="E27" s="21"/>
      <c r="F27" s="21"/>
      <c r="G27" s="20"/>
      <c r="H27" s="21"/>
      <c r="I27" s="20"/>
      <c r="J27" s="20"/>
      <c r="K27" s="21"/>
      <c r="L27" s="21"/>
      <c r="M27" s="22" t="str">
        <f aca="false">IF($B27="","",$B27+2)</f>
        <v/>
      </c>
      <c r="N27" s="20"/>
      <c r="O27" s="22" t="str">
        <f aca="false">IF($B27="","",$B27+5)</f>
        <v/>
      </c>
      <c r="P27" s="20"/>
      <c r="Q27" s="22" t="str">
        <f aca="false">IF($B27="","",$B27+10)</f>
        <v/>
      </c>
      <c r="R27" s="20"/>
      <c r="S27" s="23" t="str">
        <f aca="true">IF($B27="","",IF(AND($N27="Y",$P27="Y",$R27="Y"),"Done",IF(OR(AND($M27&lt;=TODAY(),$N27&lt;&gt;"Y"),AND($O27&lt;=TODAY(),$P27&lt;&gt;"Y"),AND($Q27&lt;=TODAY(),$R27&lt;&gt;"Y")),"DUE","Scheduled")))</f>
        <v/>
      </c>
      <c r="T27" s="20"/>
      <c r="U27" s="23" t="str">
        <f aca="false">IF($B27="","",IF(OR($T27&lt;=2,$I27="Editorial"),"REDO",""))</f>
        <v/>
      </c>
      <c r="V27" s="18" t="str">
        <f aca="false">IF($S27&lt;&gt;"DUE","",COUNTIF($S$3:$S27,"DUE"))</f>
        <v/>
      </c>
    </row>
    <row r="28" customFormat="false" ht="15" hidden="false" customHeight="false" outlineLevel="0" collapsed="false">
      <c r="A28" s="12" t="str">
        <f aca="false">IF($F28="","",ROW()-2)</f>
        <v/>
      </c>
      <c r="B28" s="19"/>
      <c r="C28" s="20"/>
      <c r="D28" s="21"/>
      <c r="E28" s="21"/>
      <c r="F28" s="21"/>
      <c r="G28" s="20"/>
      <c r="H28" s="21"/>
      <c r="I28" s="20"/>
      <c r="J28" s="20"/>
      <c r="K28" s="21"/>
      <c r="L28" s="21"/>
      <c r="M28" s="22" t="str">
        <f aca="false">IF($B28="","",$B28+2)</f>
        <v/>
      </c>
      <c r="N28" s="20"/>
      <c r="O28" s="22" t="str">
        <f aca="false">IF($B28="","",$B28+5)</f>
        <v/>
      </c>
      <c r="P28" s="20"/>
      <c r="Q28" s="22" t="str">
        <f aca="false">IF($B28="","",$B28+10)</f>
        <v/>
      </c>
      <c r="R28" s="20"/>
      <c r="S28" s="23" t="str">
        <f aca="true">IF($B28="","",IF(AND($N28="Y",$P28="Y",$R28="Y"),"Done",IF(OR(AND($M28&lt;=TODAY(),$N28&lt;&gt;"Y"),AND($O28&lt;=TODAY(),$P28&lt;&gt;"Y"),AND($Q28&lt;=TODAY(),$R28&lt;&gt;"Y")),"DUE","Scheduled")))</f>
        <v/>
      </c>
      <c r="T28" s="20"/>
      <c r="U28" s="23" t="str">
        <f aca="false">IF($B28="","",IF(OR($T28&lt;=2,$I28="Editorial"),"REDO",""))</f>
        <v/>
      </c>
      <c r="V28" s="18" t="str">
        <f aca="false">IF($S28&lt;&gt;"DUE","",COUNTIF($S$3:$S28,"DUE"))</f>
        <v/>
      </c>
    </row>
    <row r="29" customFormat="false" ht="15" hidden="false" customHeight="false" outlineLevel="0" collapsed="false">
      <c r="A29" s="12" t="str">
        <f aca="false">IF($F29="","",ROW()-2)</f>
        <v/>
      </c>
      <c r="B29" s="19"/>
      <c r="C29" s="20"/>
      <c r="D29" s="21"/>
      <c r="E29" s="21"/>
      <c r="F29" s="21"/>
      <c r="G29" s="20"/>
      <c r="H29" s="21"/>
      <c r="I29" s="20"/>
      <c r="J29" s="20"/>
      <c r="K29" s="21"/>
      <c r="L29" s="21"/>
      <c r="M29" s="22" t="str">
        <f aca="false">IF($B29="","",$B29+2)</f>
        <v/>
      </c>
      <c r="N29" s="20"/>
      <c r="O29" s="22" t="str">
        <f aca="false">IF($B29="","",$B29+5)</f>
        <v/>
      </c>
      <c r="P29" s="20"/>
      <c r="Q29" s="22" t="str">
        <f aca="false">IF($B29="","",$B29+10)</f>
        <v/>
      </c>
      <c r="R29" s="20"/>
      <c r="S29" s="23" t="str">
        <f aca="true">IF($B29="","",IF(AND($N29="Y",$P29="Y",$R29="Y"),"Done",IF(OR(AND($M29&lt;=TODAY(),$N29&lt;&gt;"Y"),AND($O29&lt;=TODAY(),$P29&lt;&gt;"Y"),AND($Q29&lt;=TODAY(),$R29&lt;&gt;"Y")),"DUE","Scheduled")))</f>
        <v/>
      </c>
      <c r="T29" s="20"/>
      <c r="U29" s="23" t="str">
        <f aca="false">IF($B29="","",IF(OR($T29&lt;=2,$I29="Editorial"),"REDO",""))</f>
        <v/>
      </c>
      <c r="V29" s="18" t="str">
        <f aca="false">IF($S29&lt;&gt;"DUE","",COUNTIF($S$3:$S29,"DUE"))</f>
        <v/>
      </c>
    </row>
    <row r="30" customFormat="false" ht="15" hidden="false" customHeight="false" outlineLevel="0" collapsed="false">
      <c r="A30" s="12" t="str">
        <f aca="false">IF($F30="","",ROW()-2)</f>
        <v/>
      </c>
      <c r="B30" s="19"/>
      <c r="C30" s="20"/>
      <c r="D30" s="21"/>
      <c r="E30" s="21"/>
      <c r="F30" s="21"/>
      <c r="G30" s="20"/>
      <c r="H30" s="21"/>
      <c r="I30" s="20"/>
      <c r="J30" s="20"/>
      <c r="K30" s="21"/>
      <c r="L30" s="21"/>
      <c r="M30" s="22" t="str">
        <f aca="false">IF($B30="","",$B30+2)</f>
        <v/>
      </c>
      <c r="N30" s="20"/>
      <c r="O30" s="22" t="str">
        <f aca="false">IF($B30="","",$B30+5)</f>
        <v/>
      </c>
      <c r="P30" s="20"/>
      <c r="Q30" s="22" t="str">
        <f aca="false">IF($B30="","",$B30+10)</f>
        <v/>
      </c>
      <c r="R30" s="20"/>
      <c r="S30" s="23" t="str">
        <f aca="true">IF($B30="","",IF(AND($N30="Y",$P30="Y",$R30="Y"),"Done",IF(OR(AND($M30&lt;=TODAY(),$N30&lt;&gt;"Y"),AND($O30&lt;=TODAY(),$P30&lt;&gt;"Y"),AND($Q30&lt;=TODAY(),$R30&lt;&gt;"Y")),"DUE","Scheduled")))</f>
        <v/>
      </c>
      <c r="T30" s="20"/>
      <c r="U30" s="23" t="str">
        <f aca="false">IF($B30="","",IF(OR($T30&lt;=2,$I30="Editorial"),"REDO",""))</f>
        <v/>
      </c>
      <c r="V30" s="18" t="str">
        <f aca="false">IF($S30&lt;&gt;"DUE","",COUNTIF($S$3:$S30,"DUE"))</f>
        <v/>
      </c>
    </row>
    <row r="31" customFormat="false" ht="15" hidden="false" customHeight="false" outlineLevel="0" collapsed="false">
      <c r="A31" s="12" t="str">
        <f aca="false">IF($F31="","",ROW()-2)</f>
        <v/>
      </c>
      <c r="B31" s="19"/>
      <c r="C31" s="20"/>
      <c r="D31" s="21"/>
      <c r="E31" s="21"/>
      <c r="F31" s="21"/>
      <c r="G31" s="20"/>
      <c r="H31" s="21"/>
      <c r="I31" s="20"/>
      <c r="J31" s="20"/>
      <c r="K31" s="21"/>
      <c r="L31" s="21"/>
      <c r="M31" s="22" t="str">
        <f aca="false">IF($B31="","",$B31+2)</f>
        <v/>
      </c>
      <c r="N31" s="20"/>
      <c r="O31" s="22" t="str">
        <f aca="false">IF($B31="","",$B31+5)</f>
        <v/>
      </c>
      <c r="P31" s="20"/>
      <c r="Q31" s="22" t="str">
        <f aca="false">IF($B31="","",$B31+10)</f>
        <v/>
      </c>
      <c r="R31" s="20"/>
      <c r="S31" s="23" t="str">
        <f aca="true">IF($B31="","",IF(AND($N31="Y",$P31="Y",$R31="Y"),"Done",IF(OR(AND($M31&lt;=TODAY(),$N31&lt;&gt;"Y"),AND($O31&lt;=TODAY(),$P31&lt;&gt;"Y"),AND($Q31&lt;=TODAY(),$R31&lt;&gt;"Y")),"DUE","Scheduled")))</f>
        <v/>
      </c>
      <c r="T31" s="20"/>
      <c r="U31" s="23" t="str">
        <f aca="false">IF($B31="","",IF(OR($T31&lt;=2,$I31="Editorial"),"REDO",""))</f>
        <v/>
      </c>
      <c r="V31" s="18" t="str">
        <f aca="false">IF($S31&lt;&gt;"DUE","",COUNTIF($S$3:$S31,"DUE"))</f>
        <v/>
      </c>
    </row>
    <row r="32" customFormat="false" ht="15" hidden="false" customHeight="false" outlineLevel="0" collapsed="false">
      <c r="A32" s="12" t="str">
        <f aca="false">IF($F32="","",ROW()-2)</f>
        <v/>
      </c>
      <c r="B32" s="19"/>
      <c r="C32" s="20"/>
      <c r="D32" s="21"/>
      <c r="E32" s="21"/>
      <c r="F32" s="21"/>
      <c r="G32" s="20"/>
      <c r="H32" s="21"/>
      <c r="I32" s="20"/>
      <c r="J32" s="20"/>
      <c r="K32" s="21"/>
      <c r="L32" s="21"/>
      <c r="M32" s="22" t="str">
        <f aca="false">IF($B32="","",$B32+2)</f>
        <v/>
      </c>
      <c r="N32" s="20"/>
      <c r="O32" s="22" t="str">
        <f aca="false">IF($B32="","",$B32+5)</f>
        <v/>
      </c>
      <c r="P32" s="20"/>
      <c r="Q32" s="22" t="str">
        <f aca="false">IF($B32="","",$B32+10)</f>
        <v/>
      </c>
      <c r="R32" s="20"/>
      <c r="S32" s="23" t="str">
        <f aca="true">IF($B32="","",IF(AND($N32="Y",$P32="Y",$R32="Y"),"Done",IF(OR(AND($M32&lt;=TODAY(),$N32&lt;&gt;"Y"),AND($O32&lt;=TODAY(),$P32&lt;&gt;"Y"),AND($Q32&lt;=TODAY(),$R32&lt;&gt;"Y")),"DUE","Scheduled")))</f>
        <v/>
      </c>
      <c r="T32" s="20"/>
      <c r="U32" s="23" t="str">
        <f aca="false">IF($B32="","",IF(OR($T32&lt;=2,$I32="Editorial"),"REDO",""))</f>
        <v/>
      </c>
      <c r="V32" s="18" t="str">
        <f aca="false">IF($S32&lt;&gt;"DUE","",COUNTIF($S$3:$S32,"DUE"))</f>
        <v/>
      </c>
    </row>
    <row r="33" customFormat="false" ht="15" hidden="false" customHeight="false" outlineLevel="0" collapsed="false">
      <c r="A33" s="12" t="str">
        <f aca="false">IF($F33="","",ROW()-2)</f>
        <v/>
      </c>
      <c r="B33" s="19"/>
      <c r="C33" s="20"/>
      <c r="D33" s="21"/>
      <c r="E33" s="21"/>
      <c r="F33" s="21"/>
      <c r="G33" s="20"/>
      <c r="H33" s="21"/>
      <c r="I33" s="20"/>
      <c r="J33" s="20"/>
      <c r="K33" s="21"/>
      <c r="L33" s="21"/>
      <c r="M33" s="22" t="str">
        <f aca="false">IF($B33="","",$B33+2)</f>
        <v/>
      </c>
      <c r="N33" s="20"/>
      <c r="O33" s="22" t="str">
        <f aca="false">IF($B33="","",$B33+5)</f>
        <v/>
      </c>
      <c r="P33" s="20"/>
      <c r="Q33" s="22" t="str">
        <f aca="false">IF($B33="","",$B33+10)</f>
        <v/>
      </c>
      <c r="R33" s="20"/>
      <c r="S33" s="23" t="str">
        <f aca="true">IF($B33="","",IF(AND($N33="Y",$P33="Y",$R33="Y"),"Done",IF(OR(AND($M33&lt;=TODAY(),$N33&lt;&gt;"Y"),AND($O33&lt;=TODAY(),$P33&lt;&gt;"Y"),AND($Q33&lt;=TODAY(),$R33&lt;&gt;"Y")),"DUE","Scheduled")))</f>
        <v/>
      </c>
      <c r="T33" s="20"/>
      <c r="U33" s="23" t="str">
        <f aca="false">IF($B33="","",IF(OR($T33&lt;=2,$I33="Editorial"),"REDO",""))</f>
        <v/>
      </c>
      <c r="V33" s="18" t="str">
        <f aca="false">IF($S33&lt;&gt;"DUE","",COUNTIF($S$3:$S33,"DUE"))</f>
        <v/>
      </c>
    </row>
    <row r="34" customFormat="false" ht="15" hidden="false" customHeight="false" outlineLevel="0" collapsed="false">
      <c r="A34" s="12" t="str">
        <f aca="false">IF($F34="","",ROW()-2)</f>
        <v/>
      </c>
      <c r="B34" s="19"/>
      <c r="C34" s="20"/>
      <c r="D34" s="21"/>
      <c r="E34" s="21"/>
      <c r="F34" s="21"/>
      <c r="G34" s="20"/>
      <c r="H34" s="21"/>
      <c r="I34" s="20"/>
      <c r="J34" s="20"/>
      <c r="K34" s="21"/>
      <c r="L34" s="21"/>
      <c r="M34" s="22" t="str">
        <f aca="false">IF($B34="","",$B34+2)</f>
        <v/>
      </c>
      <c r="N34" s="20"/>
      <c r="O34" s="22" t="str">
        <f aca="false">IF($B34="","",$B34+5)</f>
        <v/>
      </c>
      <c r="P34" s="20"/>
      <c r="Q34" s="22" t="str">
        <f aca="false">IF($B34="","",$B34+10)</f>
        <v/>
      </c>
      <c r="R34" s="20"/>
      <c r="S34" s="23" t="str">
        <f aca="true">IF($B34="","",IF(AND($N34="Y",$P34="Y",$R34="Y"),"Done",IF(OR(AND($M34&lt;=TODAY(),$N34&lt;&gt;"Y"),AND($O34&lt;=TODAY(),$P34&lt;&gt;"Y"),AND($Q34&lt;=TODAY(),$R34&lt;&gt;"Y")),"DUE","Scheduled")))</f>
        <v/>
      </c>
      <c r="T34" s="20"/>
      <c r="U34" s="23" t="str">
        <f aca="false">IF($B34="","",IF(OR($T34&lt;=2,$I34="Editorial"),"REDO",""))</f>
        <v/>
      </c>
      <c r="V34" s="18" t="str">
        <f aca="false">IF($S34&lt;&gt;"DUE","",COUNTIF($S$3:$S34,"DUE"))</f>
        <v/>
      </c>
    </row>
    <row r="35" customFormat="false" ht="15" hidden="false" customHeight="false" outlineLevel="0" collapsed="false">
      <c r="A35" s="12" t="str">
        <f aca="false">IF($F35="","",ROW()-2)</f>
        <v/>
      </c>
      <c r="B35" s="19"/>
      <c r="C35" s="20"/>
      <c r="D35" s="21"/>
      <c r="E35" s="21"/>
      <c r="F35" s="21"/>
      <c r="G35" s="20"/>
      <c r="H35" s="21"/>
      <c r="I35" s="20"/>
      <c r="J35" s="20"/>
      <c r="K35" s="21"/>
      <c r="L35" s="21"/>
      <c r="M35" s="22" t="str">
        <f aca="false">IF($B35="","",$B35+2)</f>
        <v/>
      </c>
      <c r="N35" s="20"/>
      <c r="O35" s="22" t="str">
        <f aca="false">IF($B35="","",$B35+5)</f>
        <v/>
      </c>
      <c r="P35" s="20"/>
      <c r="Q35" s="22" t="str">
        <f aca="false">IF($B35="","",$B35+10)</f>
        <v/>
      </c>
      <c r="R35" s="20"/>
      <c r="S35" s="23" t="str">
        <f aca="true">IF($B35="","",IF(AND($N35="Y",$P35="Y",$R35="Y"),"Done",IF(OR(AND($M35&lt;=TODAY(),$N35&lt;&gt;"Y"),AND($O35&lt;=TODAY(),$P35&lt;&gt;"Y"),AND($Q35&lt;=TODAY(),$R35&lt;&gt;"Y")),"DUE","Scheduled")))</f>
        <v/>
      </c>
      <c r="T35" s="20"/>
      <c r="U35" s="23" t="str">
        <f aca="false">IF($B35="","",IF(OR($T35&lt;=2,$I35="Editorial"),"REDO",""))</f>
        <v/>
      </c>
      <c r="V35" s="18" t="str">
        <f aca="false">IF($S35&lt;&gt;"DUE","",COUNTIF($S$3:$S35,"DUE"))</f>
        <v/>
      </c>
    </row>
    <row r="36" customFormat="false" ht="15" hidden="false" customHeight="false" outlineLevel="0" collapsed="false">
      <c r="A36" s="12" t="str">
        <f aca="false">IF($F36="","",ROW()-2)</f>
        <v/>
      </c>
      <c r="B36" s="19"/>
      <c r="C36" s="20"/>
      <c r="D36" s="21"/>
      <c r="E36" s="21"/>
      <c r="F36" s="21"/>
      <c r="G36" s="20"/>
      <c r="H36" s="21"/>
      <c r="I36" s="20"/>
      <c r="J36" s="20"/>
      <c r="K36" s="21"/>
      <c r="L36" s="21"/>
      <c r="M36" s="22" t="str">
        <f aca="false">IF($B36="","",$B36+2)</f>
        <v/>
      </c>
      <c r="N36" s="20"/>
      <c r="O36" s="22" t="str">
        <f aca="false">IF($B36="","",$B36+5)</f>
        <v/>
      </c>
      <c r="P36" s="20"/>
      <c r="Q36" s="22" t="str">
        <f aca="false">IF($B36="","",$B36+10)</f>
        <v/>
      </c>
      <c r="R36" s="20"/>
      <c r="S36" s="23" t="str">
        <f aca="true">IF($B36="","",IF(AND($N36="Y",$P36="Y",$R36="Y"),"Done",IF(OR(AND($M36&lt;=TODAY(),$N36&lt;&gt;"Y"),AND($O36&lt;=TODAY(),$P36&lt;&gt;"Y"),AND($Q36&lt;=TODAY(),$R36&lt;&gt;"Y")),"DUE","Scheduled")))</f>
        <v/>
      </c>
      <c r="T36" s="20"/>
      <c r="U36" s="23" t="str">
        <f aca="false">IF($B36="","",IF(OR($T36&lt;=2,$I36="Editorial"),"REDO",""))</f>
        <v/>
      </c>
      <c r="V36" s="18" t="str">
        <f aca="false">IF($S36&lt;&gt;"DUE","",COUNTIF($S$3:$S36,"DUE"))</f>
        <v/>
      </c>
    </row>
    <row r="37" customFormat="false" ht="15" hidden="false" customHeight="false" outlineLevel="0" collapsed="false">
      <c r="A37" s="12" t="str">
        <f aca="false">IF($F37="","",ROW()-2)</f>
        <v/>
      </c>
      <c r="B37" s="19"/>
      <c r="C37" s="20"/>
      <c r="D37" s="21"/>
      <c r="E37" s="21"/>
      <c r="F37" s="21"/>
      <c r="G37" s="20"/>
      <c r="H37" s="21"/>
      <c r="I37" s="20"/>
      <c r="J37" s="20"/>
      <c r="K37" s="21"/>
      <c r="L37" s="21"/>
      <c r="M37" s="22" t="str">
        <f aca="false">IF($B37="","",$B37+2)</f>
        <v/>
      </c>
      <c r="N37" s="20"/>
      <c r="O37" s="22" t="str">
        <f aca="false">IF($B37="","",$B37+5)</f>
        <v/>
      </c>
      <c r="P37" s="20"/>
      <c r="Q37" s="22" t="str">
        <f aca="false">IF($B37="","",$B37+10)</f>
        <v/>
      </c>
      <c r="R37" s="20"/>
      <c r="S37" s="23" t="str">
        <f aca="true">IF($B37="","",IF(AND($N37="Y",$P37="Y",$R37="Y"),"Done",IF(OR(AND($M37&lt;=TODAY(),$N37&lt;&gt;"Y"),AND($O37&lt;=TODAY(),$P37&lt;&gt;"Y"),AND($Q37&lt;=TODAY(),$R37&lt;&gt;"Y")),"DUE","Scheduled")))</f>
        <v/>
      </c>
      <c r="T37" s="20"/>
      <c r="U37" s="23" t="str">
        <f aca="false">IF($B37="","",IF(OR($T37&lt;=2,$I37="Editorial"),"REDO",""))</f>
        <v/>
      </c>
      <c r="V37" s="18" t="str">
        <f aca="false">IF($S37&lt;&gt;"DUE","",COUNTIF($S$3:$S37,"DUE"))</f>
        <v/>
      </c>
    </row>
    <row r="38" customFormat="false" ht="15" hidden="false" customHeight="false" outlineLevel="0" collapsed="false">
      <c r="A38" s="12" t="str">
        <f aca="false">IF($F38="","",ROW()-2)</f>
        <v/>
      </c>
      <c r="B38" s="19"/>
      <c r="C38" s="20"/>
      <c r="D38" s="21"/>
      <c r="E38" s="21"/>
      <c r="F38" s="21"/>
      <c r="G38" s="20"/>
      <c r="H38" s="21"/>
      <c r="I38" s="20"/>
      <c r="J38" s="20"/>
      <c r="K38" s="21"/>
      <c r="L38" s="21"/>
      <c r="M38" s="22" t="str">
        <f aca="false">IF($B38="","",$B38+2)</f>
        <v/>
      </c>
      <c r="N38" s="20"/>
      <c r="O38" s="22" t="str">
        <f aca="false">IF($B38="","",$B38+5)</f>
        <v/>
      </c>
      <c r="P38" s="20"/>
      <c r="Q38" s="22" t="str">
        <f aca="false">IF($B38="","",$B38+10)</f>
        <v/>
      </c>
      <c r="R38" s="20"/>
      <c r="S38" s="23" t="str">
        <f aca="true">IF($B38="","",IF(AND($N38="Y",$P38="Y",$R38="Y"),"Done",IF(OR(AND($M38&lt;=TODAY(),$N38&lt;&gt;"Y"),AND($O38&lt;=TODAY(),$P38&lt;&gt;"Y"),AND($Q38&lt;=TODAY(),$R38&lt;&gt;"Y")),"DUE","Scheduled")))</f>
        <v/>
      </c>
      <c r="T38" s="20"/>
      <c r="U38" s="23" t="str">
        <f aca="false">IF($B38="","",IF(OR($T38&lt;=2,$I38="Editorial"),"REDO",""))</f>
        <v/>
      </c>
      <c r="V38" s="18" t="str">
        <f aca="false">IF($S38&lt;&gt;"DUE","",COUNTIF($S$3:$S38,"DUE"))</f>
        <v/>
      </c>
    </row>
    <row r="39" customFormat="false" ht="15" hidden="false" customHeight="false" outlineLevel="0" collapsed="false">
      <c r="A39" s="12" t="str">
        <f aca="false">IF($F39="","",ROW()-2)</f>
        <v/>
      </c>
      <c r="B39" s="19"/>
      <c r="C39" s="20"/>
      <c r="D39" s="21"/>
      <c r="E39" s="21"/>
      <c r="F39" s="21"/>
      <c r="G39" s="20"/>
      <c r="H39" s="21"/>
      <c r="I39" s="20"/>
      <c r="J39" s="20"/>
      <c r="K39" s="21"/>
      <c r="L39" s="21"/>
      <c r="M39" s="22" t="str">
        <f aca="false">IF($B39="","",$B39+2)</f>
        <v/>
      </c>
      <c r="N39" s="20"/>
      <c r="O39" s="22" t="str">
        <f aca="false">IF($B39="","",$B39+5)</f>
        <v/>
      </c>
      <c r="P39" s="20"/>
      <c r="Q39" s="22" t="str">
        <f aca="false">IF($B39="","",$B39+10)</f>
        <v/>
      </c>
      <c r="R39" s="20"/>
      <c r="S39" s="23" t="str">
        <f aca="true">IF($B39="","",IF(AND($N39="Y",$P39="Y",$R39="Y"),"Done",IF(OR(AND($M39&lt;=TODAY(),$N39&lt;&gt;"Y"),AND($O39&lt;=TODAY(),$P39&lt;&gt;"Y"),AND($Q39&lt;=TODAY(),$R39&lt;&gt;"Y")),"DUE","Scheduled")))</f>
        <v/>
      </c>
      <c r="T39" s="20"/>
      <c r="U39" s="23" t="str">
        <f aca="false">IF($B39="","",IF(OR($T39&lt;=2,$I39="Editorial"),"REDO",""))</f>
        <v/>
      </c>
      <c r="V39" s="18" t="str">
        <f aca="false">IF($S39&lt;&gt;"DUE","",COUNTIF($S$3:$S39,"DUE"))</f>
        <v/>
      </c>
    </row>
    <row r="40" customFormat="false" ht="15" hidden="false" customHeight="false" outlineLevel="0" collapsed="false">
      <c r="A40" s="12" t="str">
        <f aca="false">IF($F40="","",ROW()-2)</f>
        <v/>
      </c>
      <c r="B40" s="19"/>
      <c r="C40" s="20"/>
      <c r="D40" s="21"/>
      <c r="E40" s="21"/>
      <c r="F40" s="21"/>
      <c r="G40" s="20"/>
      <c r="H40" s="21"/>
      <c r="I40" s="20"/>
      <c r="J40" s="20"/>
      <c r="K40" s="21"/>
      <c r="L40" s="21"/>
      <c r="M40" s="22" t="str">
        <f aca="false">IF($B40="","",$B40+2)</f>
        <v/>
      </c>
      <c r="N40" s="20"/>
      <c r="O40" s="22" t="str">
        <f aca="false">IF($B40="","",$B40+5)</f>
        <v/>
      </c>
      <c r="P40" s="20"/>
      <c r="Q40" s="22" t="str">
        <f aca="false">IF($B40="","",$B40+10)</f>
        <v/>
      </c>
      <c r="R40" s="20"/>
      <c r="S40" s="23" t="str">
        <f aca="true">IF($B40="","",IF(AND($N40="Y",$P40="Y",$R40="Y"),"Done",IF(OR(AND($M40&lt;=TODAY(),$N40&lt;&gt;"Y"),AND($O40&lt;=TODAY(),$P40&lt;&gt;"Y"),AND($Q40&lt;=TODAY(),$R40&lt;&gt;"Y")),"DUE","Scheduled")))</f>
        <v/>
      </c>
      <c r="T40" s="20"/>
      <c r="U40" s="23" t="str">
        <f aca="false">IF($B40="","",IF(OR($T40&lt;=2,$I40="Editorial"),"REDO",""))</f>
        <v/>
      </c>
      <c r="V40" s="18" t="str">
        <f aca="false">IF($S40&lt;&gt;"DUE","",COUNTIF($S$3:$S40,"DUE"))</f>
        <v/>
      </c>
    </row>
    <row r="41" customFormat="false" ht="15" hidden="false" customHeight="false" outlineLevel="0" collapsed="false">
      <c r="A41" s="12" t="str">
        <f aca="false">IF($F41="","",ROW()-2)</f>
        <v/>
      </c>
      <c r="B41" s="19"/>
      <c r="C41" s="20"/>
      <c r="D41" s="21"/>
      <c r="E41" s="21"/>
      <c r="F41" s="21"/>
      <c r="G41" s="20"/>
      <c r="H41" s="21"/>
      <c r="I41" s="20"/>
      <c r="J41" s="20"/>
      <c r="K41" s="21"/>
      <c r="L41" s="21"/>
      <c r="M41" s="22" t="str">
        <f aca="false">IF($B41="","",$B41+2)</f>
        <v/>
      </c>
      <c r="N41" s="20"/>
      <c r="O41" s="22" t="str">
        <f aca="false">IF($B41="","",$B41+5)</f>
        <v/>
      </c>
      <c r="P41" s="20"/>
      <c r="Q41" s="22" t="str">
        <f aca="false">IF($B41="","",$B41+10)</f>
        <v/>
      </c>
      <c r="R41" s="20"/>
      <c r="S41" s="23" t="str">
        <f aca="true">IF($B41="","",IF(AND($N41="Y",$P41="Y",$R41="Y"),"Done",IF(OR(AND($M41&lt;=TODAY(),$N41&lt;&gt;"Y"),AND($O41&lt;=TODAY(),$P41&lt;&gt;"Y"),AND($Q41&lt;=TODAY(),$R41&lt;&gt;"Y")),"DUE","Scheduled")))</f>
        <v/>
      </c>
      <c r="T41" s="20"/>
      <c r="U41" s="23" t="str">
        <f aca="false">IF($B41="","",IF(OR($T41&lt;=2,$I41="Editorial"),"REDO",""))</f>
        <v/>
      </c>
      <c r="V41" s="18" t="str">
        <f aca="false">IF($S41&lt;&gt;"DUE","",COUNTIF($S$3:$S41,"DUE"))</f>
        <v/>
      </c>
    </row>
    <row r="42" customFormat="false" ht="15" hidden="false" customHeight="false" outlineLevel="0" collapsed="false">
      <c r="A42" s="12" t="str">
        <f aca="false">IF($F42="","",ROW()-2)</f>
        <v/>
      </c>
      <c r="B42" s="19"/>
      <c r="C42" s="20"/>
      <c r="D42" s="21"/>
      <c r="E42" s="21"/>
      <c r="F42" s="21"/>
      <c r="G42" s="20"/>
      <c r="H42" s="21"/>
      <c r="I42" s="20"/>
      <c r="J42" s="20"/>
      <c r="K42" s="21"/>
      <c r="L42" s="21"/>
      <c r="M42" s="22" t="str">
        <f aca="false">IF($B42="","",$B42+2)</f>
        <v/>
      </c>
      <c r="N42" s="20"/>
      <c r="O42" s="22" t="str">
        <f aca="false">IF($B42="","",$B42+5)</f>
        <v/>
      </c>
      <c r="P42" s="20"/>
      <c r="Q42" s="22" t="str">
        <f aca="false">IF($B42="","",$B42+10)</f>
        <v/>
      </c>
      <c r="R42" s="20"/>
      <c r="S42" s="23" t="str">
        <f aca="true">IF($B42="","",IF(AND($N42="Y",$P42="Y",$R42="Y"),"Done",IF(OR(AND($M42&lt;=TODAY(),$N42&lt;&gt;"Y"),AND($O42&lt;=TODAY(),$P42&lt;&gt;"Y"),AND($Q42&lt;=TODAY(),$R42&lt;&gt;"Y")),"DUE","Scheduled")))</f>
        <v/>
      </c>
      <c r="T42" s="20"/>
      <c r="U42" s="23" t="str">
        <f aca="false">IF($B42="","",IF(OR($T42&lt;=2,$I42="Editorial"),"REDO",""))</f>
        <v/>
      </c>
      <c r="V42" s="18" t="str">
        <f aca="false">IF($S42&lt;&gt;"DUE","",COUNTIF($S$3:$S42,"DUE"))</f>
        <v/>
      </c>
    </row>
    <row r="43" customFormat="false" ht="15" hidden="false" customHeight="false" outlineLevel="0" collapsed="false">
      <c r="A43" s="12" t="str">
        <f aca="false">IF($F43="","",ROW()-2)</f>
        <v/>
      </c>
      <c r="B43" s="19"/>
      <c r="C43" s="20"/>
      <c r="D43" s="21"/>
      <c r="E43" s="21"/>
      <c r="F43" s="21"/>
      <c r="G43" s="20"/>
      <c r="H43" s="21"/>
      <c r="I43" s="20"/>
      <c r="J43" s="20"/>
      <c r="K43" s="21"/>
      <c r="L43" s="21"/>
      <c r="M43" s="22" t="str">
        <f aca="false">IF($B43="","",$B43+2)</f>
        <v/>
      </c>
      <c r="N43" s="20"/>
      <c r="O43" s="22" t="str">
        <f aca="false">IF($B43="","",$B43+5)</f>
        <v/>
      </c>
      <c r="P43" s="20"/>
      <c r="Q43" s="22" t="str">
        <f aca="false">IF($B43="","",$B43+10)</f>
        <v/>
      </c>
      <c r="R43" s="20"/>
      <c r="S43" s="23" t="str">
        <f aca="true">IF($B43="","",IF(AND($N43="Y",$P43="Y",$R43="Y"),"Done",IF(OR(AND($M43&lt;=TODAY(),$N43&lt;&gt;"Y"),AND($O43&lt;=TODAY(),$P43&lt;&gt;"Y"),AND($Q43&lt;=TODAY(),$R43&lt;&gt;"Y")),"DUE","Scheduled")))</f>
        <v/>
      </c>
      <c r="T43" s="20"/>
      <c r="U43" s="23" t="str">
        <f aca="false">IF($B43="","",IF(OR($T43&lt;=2,$I43="Editorial"),"REDO",""))</f>
        <v/>
      </c>
      <c r="V43" s="18" t="str">
        <f aca="false">IF($S43&lt;&gt;"DUE","",COUNTIF($S$3:$S43,"DUE"))</f>
        <v/>
      </c>
    </row>
    <row r="44" customFormat="false" ht="15" hidden="false" customHeight="false" outlineLevel="0" collapsed="false">
      <c r="A44" s="12" t="str">
        <f aca="false">IF($F44="","",ROW()-2)</f>
        <v/>
      </c>
      <c r="B44" s="19"/>
      <c r="C44" s="20"/>
      <c r="D44" s="21"/>
      <c r="E44" s="21"/>
      <c r="F44" s="21"/>
      <c r="G44" s="20"/>
      <c r="H44" s="21"/>
      <c r="I44" s="20"/>
      <c r="J44" s="20"/>
      <c r="K44" s="21"/>
      <c r="L44" s="21"/>
      <c r="M44" s="22" t="str">
        <f aca="false">IF($B44="","",$B44+2)</f>
        <v/>
      </c>
      <c r="N44" s="20"/>
      <c r="O44" s="22" t="str">
        <f aca="false">IF($B44="","",$B44+5)</f>
        <v/>
      </c>
      <c r="P44" s="20"/>
      <c r="Q44" s="22" t="str">
        <f aca="false">IF($B44="","",$B44+10)</f>
        <v/>
      </c>
      <c r="R44" s="20"/>
      <c r="S44" s="23" t="str">
        <f aca="true">IF($B44="","",IF(AND($N44="Y",$P44="Y",$R44="Y"),"Done",IF(OR(AND($M44&lt;=TODAY(),$N44&lt;&gt;"Y"),AND($O44&lt;=TODAY(),$P44&lt;&gt;"Y"),AND($Q44&lt;=TODAY(),$R44&lt;&gt;"Y")),"DUE","Scheduled")))</f>
        <v/>
      </c>
      <c r="T44" s="20"/>
      <c r="U44" s="23" t="str">
        <f aca="false">IF($B44="","",IF(OR($T44&lt;=2,$I44="Editorial"),"REDO",""))</f>
        <v/>
      </c>
      <c r="V44" s="18" t="str">
        <f aca="false">IF($S44&lt;&gt;"DUE","",COUNTIF($S$3:$S44,"DUE"))</f>
        <v/>
      </c>
    </row>
    <row r="45" customFormat="false" ht="15" hidden="false" customHeight="false" outlineLevel="0" collapsed="false">
      <c r="A45" s="12" t="str">
        <f aca="false">IF($F45="","",ROW()-2)</f>
        <v/>
      </c>
      <c r="B45" s="19"/>
      <c r="C45" s="20"/>
      <c r="D45" s="21"/>
      <c r="E45" s="21"/>
      <c r="F45" s="21"/>
      <c r="G45" s="20"/>
      <c r="H45" s="21"/>
      <c r="I45" s="20"/>
      <c r="J45" s="20"/>
      <c r="K45" s="21"/>
      <c r="L45" s="21"/>
      <c r="M45" s="22" t="str">
        <f aca="false">IF($B45="","",$B45+2)</f>
        <v/>
      </c>
      <c r="N45" s="20"/>
      <c r="O45" s="22" t="str">
        <f aca="false">IF($B45="","",$B45+5)</f>
        <v/>
      </c>
      <c r="P45" s="20"/>
      <c r="Q45" s="22" t="str">
        <f aca="false">IF($B45="","",$B45+10)</f>
        <v/>
      </c>
      <c r="R45" s="20"/>
      <c r="S45" s="23" t="str">
        <f aca="true">IF($B45="","",IF(AND($N45="Y",$P45="Y",$R45="Y"),"Done",IF(OR(AND($M45&lt;=TODAY(),$N45&lt;&gt;"Y"),AND($O45&lt;=TODAY(),$P45&lt;&gt;"Y"),AND($Q45&lt;=TODAY(),$R45&lt;&gt;"Y")),"DUE","Scheduled")))</f>
        <v/>
      </c>
      <c r="T45" s="20"/>
      <c r="U45" s="23" t="str">
        <f aca="false">IF($B45="","",IF(OR($T45&lt;=2,$I45="Editorial"),"REDO",""))</f>
        <v/>
      </c>
      <c r="V45" s="18" t="str">
        <f aca="false">IF($S45&lt;&gt;"DUE","",COUNTIF($S$3:$S45,"DUE"))</f>
        <v/>
      </c>
    </row>
    <row r="46" customFormat="false" ht="15" hidden="false" customHeight="false" outlineLevel="0" collapsed="false">
      <c r="A46" s="12" t="str">
        <f aca="false">IF($F46="","",ROW()-2)</f>
        <v/>
      </c>
      <c r="B46" s="19"/>
      <c r="C46" s="20"/>
      <c r="D46" s="21"/>
      <c r="E46" s="21"/>
      <c r="F46" s="21"/>
      <c r="G46" s="20"/>
      <c r="H46" s="21"/>
      <c r="I46" s="20"/>
      <c r="J46" s="20"/>
      <c r="K46" s="21"/>
      <c r="L46" s="21"/>
      <c r="M46" s="22" t="str">
        <f aca="false">IF($B46="","",$B46+2)</f>
        <v/>
      </c>
      <c r="N46" s="20"/>
      <c r="O46" s="22" t="str">
        <f aca="false">IF($B46="","",$B46+5)</f>
        <v/>
      </c>
      <c r="P46" s="20"/>
      <c r="Q46" s="22" t="str">
        <f aca="false">IF($B46="","",$B46+10)</f>
        <v/>
      </c>
      <c r="R46" s="20"/>
      <c r="S46" s="23" t="str">
        <f aca="true">IF($B46="","",IF(AND($N46="Y",$P46="Y",$R46="Y"),"Done",IF(OR(AND($M46&lt;=TODAY(),$N46&lt;&gt;"Y"),AND($O46&lt;=TODAY(),$P46&lt;&gt;"Y"),AND($Q46&lt;=TODAY(),$R46&lt;&gt;"Y")),"DUE","Scheduled")))</f>
        <v/>
      </c>
      <c r="T46" s="20"/>
      <c r="U46" s="23" t="str">
        <f aca="false">IF($B46="","",IF(OR($T46&lt;=2,$I46="Editorial"),"REDO",""))</f>
        <v/>
      </c>
      <c r="V46" s="18" t="str">
        <f aca="false">IF($S46&lt;&gt;"DUE","",COUNTIF($S$3:$S46,"DUE"))</f>
        <v/>
      </c>
    </row>
    <row r="47" customFormat="false" ht="15" hidden="false" customHeight="false" outlineLevel="0" collapsed="false">
      <c r="A47" s="12" t="str">
        <f aca="false">IF($F47="","",ROW()-2)</f>
        <v/>
      </c>
      <c r="B47" s="19"/>
      <c r="C47" s="20"/>
      <c r="D47" s="21"/>
      <c r="E47" s="21"/>
      <c r="F47" s="21"/>
      <c r="G47" s="20"/>
      <c r="H47" s="21"/>
      <c r="I47" s="20"/>
      <c r="J47" s="20"/>
      <c r="K47" s="21"/>
      <c r="L47" s="21"/>
      <c r="M47" s="22" t="str">
        <f aca="false">IF($B47="","",$B47+2)</f>
        <v/>
      </c>
      <c r="N47" s="20"/>
      <c r="O47" s="22" t="str">
        <f aca="false">IF($B47="","",$B47+5)</f>
        <v/>
      </c>
      <c r="P47" s="20"/>
      <c r="Q47" s="22" t="str">
        <f aca="false">IF($B47="","",$B47+10)</f>
        <v/>
      </c>
      <c r="R47" s="20"/>
      <c r="S47" s="23" t="str">
        <f aca="true">IF($B47="","",IF(AND($N47="Y",$P47="Y",$R47="Y"),"Done",IF(OR(AND($M47&lt;=TODAY(),$N47&lt;&gt;"Y"),AND($O47&lt;=TODAY(),$P47&lt;&gt;"Y"),AND($Q47&lt;=TODAY(),$R47&lt;&gt;"Y")),"DUE","Scheduled")))</f>
        <v/>
      </c>
      <c r="T47" s="20"/>
      <c r="U47" s="23" t="str">
        <f aca="false">IF($B47="","",IF(OR($T47&lt;=2,$I47="Editorial"),"REDO",""))</f>
        <v/>
      </c>
      <c r="V47" s="18" t="str">
        <f aca="false">IF($S47&lt;&gt;"DUE","",COUNTIF($S$3:$S47,"DUE"))</f>
        <v/>
      </c>
    </row>
    <row r="48" customFormat="false" ht="15" hidden="false" customHeight="false" outlineLevel="0" collapsed="false">
      <c r="A48" s="12" t="str">
        <f aca="false">IF($F48="","",ROW()-2)</f>
        <v/>
      </c>
      <c r="B48" s="19"/>
      <c r="C48" s="20"/>
      <c r="D48" s="21"/>
      <c r="E48" s="21"/>
      <c r="F48" s="21"/>
      <c r="G48" s="20"/>
      <c r="H48" s="21"/>
      <c r="I48" s="20"/>
      <c r="J48" s="20"/>
      <c r="K48" s="21"/>
      <c r="L48" s="21"/>
      <c r="M48" s="22" t="str">
        <f aca="false">IF($B48="","",$B48+2)</f>
        <v/>
      </c>
      <c r="N48" s="20"/>
      <c r="O48" s="22" t="str">
        <f aca="false">IF($B48="","",$B48+5)</f>
        <v/>
      </c>
      <c r="P48" s="20"/>
      <c r="Q48" s="22" t="str">
        <f aca="false">IF($B48="","",$B48+10)</f>
        <v/>
      </c>
      <c r="R48" s="20"/>
      <c r="S48" s="23" t="str">
        <f aca="true">IF($B48="","",IF(AND($N48="Y",$P48="Y",$R48="Y"),"Done",IF(OR(AND($M48&lt;=TODAY(),$N48&lt;&gt;"Y"),AND($O48&lt;=TODAY(),$P48&lt;&gt;"Y"),AND($Q48&lt;=TODAY(),$R48&lt;&gt;"Y")),"DUE","Scheduled")))</f>
        <v/>
      </c>
      <c r="T48" s="20"/>
      <c r="U48" s="23" t="str">
        <f aca="false">IF($B48="","",IF(OR($T48&lt;=2,$I48="Editorial"),"REDO",""))</f>
        <v/>
      </c>
      <c r="V48" s="18" t="str">
        <f aca="false">IF($S48&lt;&gt;"DUE","",COUNTIF($S$3:$S48,"DUE"))</f>
        <v/>
      </c>
    </row>
    <row r="49" customFormat="false" ht="15" hidden="false" customHeight="false" outlineLevel="0" collapsed="false">
      <c r="A49" s="12" t="str">
        <f aca="false">IF($F49="","",ROW()-2)</f>
        <v/>
      </c>
      <c r="B49" s="19"/>
      <c r="C49" s="20"/>
      <c r="D49" s="21"/>
      <c r="E49" s="21"/>
      <c r="F49" s="21"/>
      <c r="G49" s="20"/>
      <c r="H49" s="21"/>
      <c r="I49" s="20"/>
      <c r="J49" s="20"/>
      <c r="K49" s="21"/>
      <c r="L49" s="21"/>
      <c r="M49" s="22" t="str">
        <f aca="false">IF($B49="","",$B49+2)</f>
        <v/>
      </c>
      <c r="N49" s="20"/>
      <c r="O49" s="22" t="str">
        <f aca="false">IF($B49="","",$B49+5)</f>
        <v/>
      </c>
      <c r="P49" s="20"/>
      <c r="Q49" s="22" t="str">
        <f aca="false">IF($B49="","",$B49+10)</f>
        <v/>
      </c>
      <c r="R49" s="20"/>
      <c r="S49" s="23" t="str">
        <f aca="true">IF($B49="","",IF(AND($N49="Y",$P49="Y",$R49="Y"),"Done",IF(OR(AND($M49&lt;=TODAY(),$N49&lt;&gt;"Y"),AND($O49&lt;=TODAY(),$P49&lt;&gt;"Y"),AND($Q49&lt;=TODAY(),$R49&lt;&gt;"Y")),"DUE","Scheduled")))</f>
        <v/>
      </c>
      <c r="T49" s="20"/>
      <c r="U49" s="23" t="str">
        <f aca="false">IF($B49="","",IF(OR($T49&lt;=2,$I49="Editorial"),"REDO",""))</f>
        <v/>
      </c>
      <c r="V49" s="18" t="str">
        <f aca="false">IF($S49&lt;&gt;"DUE","",COUNTIF($S$3:$S49,"DUE"))</f>
        <v/>
      </c>
    </row>
    <row r="50" customFormat="false" ht="15" hidden="false" customHeight="false" outlineLevel="0" collapsed="false">
      <c r="A50" s="12" t="str">
        <f aca="false">IF($F50="","",ROW()-2)</f>
        <v/>
      </c>
      <c r="B50" s="19"/>
      <c r="C50" s="20"/>
      <c r="D50" s="21"/>
      <c r="E50" s="21"/>
      <c r="F50" s="21"/>
      <c r="G50" s="20"/>
      <c r="H50" s="21"/>
      <c r="I50" s="20"/>
      <c r="J50" s="20"/>
      <c r="K50" s="21"/>
      <c r="L50" s="21"/>
      <c r="M50" s="22" t="str">
        <f aca="false">IF($B50="","",$B50+2)</f>
        <v/>
      </c>
      <c r="N50" s="20"/>
      <c r="O50" s="22" t="str">
        <f aca="false">IF($B50="","",$B50+5)</f>
        <v/>
      </c>
      <c r="P50" s="20"/>
      <c r="Q50" s="22" t="str">
        <f aca="false">IF($B50="","",$B50+10)</f>
        <v/>
      </c>
      <c r="R50" s="20"/>
      <c r="S50" s="23" t="str">
        <f aca="true">IF($B50="","",IF(AND($N50="Y",$P50="Y",$R50="Y"),"Done",IF(OR(AND($M50&lt;=TODAY(),$N50&lt;&gt;"Y"),AND($O50&lt;=TODAY(),$P50&lt;&gt;"Y"),AND($Q50&lt;=TODAY(),$R50&lt;&gt;"Y")),"DUE","Scheduled")))</f>
        <v/>
      </c>
      <c r="T50" s="20"/>
      <c r="U50" s="23" t="str">
        <f aca="false">IF($B50="","",IF(OR($T50&lt;=2,$I50="Editorial"),"REDO",""))</f>
        <v/>
      </c>
      <c r="V50" s="18" t="str">
        <f aca="false">IF($S50&lt;&gt;"DUE","",COUNTIF($S$3:$S50,"DUE"))</f>
        <v/>
      </c>
    </row>
    <row r="51" customFormat="false" ht="15" hidden="false" customHeight="false" outlineLevel="0" collapsed="false">
      <c r="A51" s="12" t="str">
        <f aca="false">IF($F51="","",ROW()-2)</f>
        <v/>
      </c>
      <c r="B51" s="19"/>
      <c r="C51" s="20"/>
      <c r="D51" s="21"/>
      <c r="E51" s="21"/>
      <c r="F51" s="21"/>
      <c r="G51" s="20"/>
      <c r="H51" s="21"/>
      <c r="I51" s="20"/>
      <c r="J51" s="20"/>
      <c r="K51" s="21"/>
      <c r="L51" s="21"/>
      <c r="M51" s="22" t="str">
        <f aca="false">IF($B51="","",$B51+2)</f>
        <v/>
      </c>
      <c r="N51" s="20"/>
      <c r="O51" s="22" t="str">
        <f aca="false">IF($B51="","",$B51+5)</f>
        <v/>
      </c>
      <c r="P51" s="20"/>
      <c r="Q51" s="22" t="str">
        <f aca="false">IF($B51="","",$B51+10)</f>
        <v/>
      </c>
      <c r="R51" s="20"/>
      <c r="S51" s="23" t="str">
        <f aca="true">IF($B51="","",IF(AND($N51="Y",$P51="Y",$R51="Y"),"Done",IF(OR(AND($M51&lt;=TODAY(),$N51&lt;&gt;"Y"),AND($O51&lt;=TODAY(),$P51&lt;&gt;"Y"),AND($Q51&lt;=TODAY(),$R51&lt;&gt;"Y")),"DUE","Scheduled")))</f>
        <v/>
      </c>
      <c r="T51" s="20"/>
      <c r="U51" s="23" t="str">
        <f aca="false">IF($B51="","",IF(OR($T51&lt;=2,$I51="Editorial"),"REDO",""))</f>
        <v/>
      </c>
      <c r="V51" s="18" t="str">
        <f aca="false">IF($S51&lt;&gt;"DUE","",COUNTIF($S$3:$S51,"DUE"))</f>
        <v/>
      </c>
    </row>
    <row r="52" customFormat="false" ht="15" hidden="false" customHeight="false" outlineLevel="0" collapsed="false">
      <c r="A52" s="12" t="str">
        <f aca="false">IF($F52="","",ROW()-2)</f>
        <v/>
      </c>
      <c r="B52" s="19"/>
      <c r="C52" s="20"/>
      <c r="D52" s="21"/>
      <c r="E52" s="21"/>
      <c r="F52" s="21"/>
      <c r="G52" s="20"/>
      <c r="H52" s="21"/>
      <c r="I52" s="20"/>
      <c r="J52" s="20"/>
      <c r="K52" s="21"/>
      <c r="L52" s="21"/>
      <c r="M52" s="22" t="str">
        <f aca="false">IF($B52="","",$B52+2)</f>
        <v/>
      </c>
      <c r="N52" s="20"/>
      <c r="O52" s="22" t="str">
        <f aca="false">IF($B52="","",$B52+5)</f>
        <v/>
      </c>
      <c r="P52" s="20"/>
      <c r="Q52" s="22" t="str">
        <f aca="false">IF($B52="","",$B52+10)</f>
        <v/>
      </c>
      <c r="R52" s="20"/>
      <c r="S52" s="23" t="str">
        <f aca="true">IF($B52="","",IF(AND($N52="Y",$P52="Y",$R52="Y"),"Done",IF(OR(AND($M52&lt;=TODAY(),$N52&lt;&gt;"Y"),AND($O52&lt;=TODAY(),$P52&lt;&gt;"Y"),AND($Q52&lt;=TODAY(),$R52&lt;&gt;"Y")),"DUE","Scheduled")))</f>
        <v/>
      </c>
      <c r="T52" s="20"/>
      <c r="U52" s="23" t="str">
        <f aca="false">IF($B52="","",IF(OR($T52&lt;=2,$I52="Editorial"),"REDO",""))</f>
        <v/>
      </c>
      <c r="V52" s="18" t="str">
        <f aca="false">IF($S52&lt;&gt;"DUE","",COUNTIF($S$3:$S52,"DUE"))</f>
        <v/>
      </c>
    </row>
    <row r="53" customFormat="false" ht="15" hidden="false" customHeight="false" outlineLevel="0" collapsed="false">
      <c r="A53" s="12" t="str">
        <f aca="false">IF($F53="","",ROW()-2)</f>
        <v/>
      </c>
      <c r="B53" s="19"/>
      <c r="C53" s="20"/>
      <c r="D53" s="21"/>
      <c r="E53" s="21"/>
      <c r="F53" s="21"/>
      <c r="G53" s="20"/>
      <c r="H53" s="21"/>
      <c r="I53" s="20"/>
      <c r="J53" s="20"/>
      <c r="K53" s="21"/>
      <c r="L53" s="21"/>
      <c r="M53" s="22" t="str">
        <f aca="false">IF($B53="","",$B53+2)</f>
        <v/>
      </c>
      <c r="N53" s="20"/>
      <c r="O53" s="22" t="str">
        <f aca="false">IF($B53="","",$B53+5)</f>
        <v/>
      </c>
      <c r="P53" s="20"/>
      <c r="Q53" s="22" t="str">
        <f aca="false">IF($B53="","",$B53+10)</f>
        <v/>
      </c>
      <c r="R53" s="20"/>
      <c r="S53" s="23" t="str">
        <f aca="true">IF($B53="","",IF(AND($N53="Y",$P53="Y",$R53="Y"),"Done",IF(OR(AND($M53&lt;=TODAY(),$N53&lt;&gt;"Y"),AND($O53&lt;=TODAY(),$P53&lt;&gt;"Y"),AND($Q53&lt;=TODAY(),$R53&lt;&gt;"Y")),"DUE","Scheduled")))</f>
        <v/>
      </c>
      <c r="T53" s="20"/>
      <c r="U53" s="23" t="str">
        <f aca="false">IF($B53="","",IF(OR($T53&lt;=2,$I53="Editorial"),"REDO",""))</f>
        <v/>
      </c>
      <c r="V53" s="18" t="str">
        <f aca="false">IF($S53&lt;&gt;"DUE","",COUNTIF($S$3:$S53,"DUE"))</f>
        <v/>
      </c>
    </row>
    <row r="54" customFormat="false" ht="15" hidden="false" customHeight="false" outlineLevel="0" collapsed="false">
      <c r="A54" s="12" t="str">
        <f aca="false">IF($F54="","",ROW()-2)</f>
        <v/>
      </c>
      <c r="B54" s="19"/>
      <c r="C54" s="20"/>
      <c r="D54" s="21"/>
      <c r="E54" s="21"/>
      <c r="F54" s="21"/>
      <c r="G54" s="20"/>
      <c r="H54" s="21"/>
      <c r="I54" s="20"/>
      <c r="J54" s="20"/>
      <c r="K54" s="21"/>
      <c r="L54" s="21"/>
      <c r="M54" s="22" t="str">
        <f aca="false">IF($B54="","",$B54+2)</f>
        <v/>
      </c>
      <c r="N54" s="20"/>
      <c r="O54" s="22" t="str">
        <f aca="false">IF($B54="","",$B54+5)</f>
        <v/>
      </c>
      <c r="P54" s="20"/>
      <c r="Q54" s="22" t="str">
        <f aca="false">IF($B54="","",$B54+10)</f>
        <v/>
      </c>
      <c r="R54" s="20"/>
      <c r="S54" s="23" t="str">
        <f aca="true">IF($B54="","",IF(AND($N54="Y",$P54="Y",$R54="Y"),"Done",IF(OR(AND($M54&lt;=TODAY(),$N54&lt;&gt;"Y"),AND($O54&lt;=TODAY(),$P54&lt;&gt;"Y"),AND($Q54&lt;=TODAY(),$R54&lt;&gt;"Y")),"DUE","Scheduled")))</f>
        <v/>
      </c>
      <c r="T54" s="20"/>
      <c r="U54" s="23" t="str">
        <f aca="false">IF($B54="","",IF(OR($T54&lt;=2,$I54="Editorial"),"REDO",""))</f>
        <v/>
      </c>
      <c r="V54" s="18" t="str">
        <f aca="false">IF($S54&lt;&gt;"DUE","",COUNTIF($S$3:$S54,"DUE"))</f>
        <v/>
      </c>
    </row>
    <row r="55" customFormat="false" ht="15" hidden="false" customHeight="false" outlineLevel="0" collapsed="false">
      <c r="A55" s="12" t="str">
        <f aca="false">IF($F55="","",ROW()-2)</f>
        <v/>
      </c>
      <c r="B55" s="19"/>
      <c r="C55" s="20"/>
      <c r="D55" s="21"/>
      <c r="E55" s="21"/>
      <c r="F55" s="21"/>
      <c r="G55" s="20"/>
      <c r="H55" s="21"/>
      <c r="I55" s="20"/>
      <c r="J55" s="20"/>
      <c r="K55" s="21"/>
      <c r="L55" s="21"/>
      <c r="M55" s="22" t="str">
        <f aca="false">IF($B55="","",$B55+2)</f>
        <v/>
      </c>
      <c r="N55" s="20"/>
      <c r="O55" s="22" t="str">
        <f aca="false">IF($B55="","",$B55+5)</f>
        <v/>
      </c>
      <c r="P55" s="20"/>
      <c r="Q55" s="22" t="str">
        <f aca="false">IF($B55="","",$B55+10)</f>
        <v/>
      </c>
      <c r="R55" s="20"/>
      <c r="S55" s="23" t="str">
        <f aca="true">IF($B55="","",IF(AND($N55="Y",$P55="Y",$R55="Y"),"Done",IF(OR(AND($M55&lt;=TODAY(),$N55&lt;&gt;"Y"),AND($O55&lt;=TODAY(),$P55&lt;&gt;"Y"),AND($Q55&lt;=TODAY(),$R55&lt;&gt;"Y")),"DUE","Scheduled")))</f>
        <v/>
      </c>
      <c r="T55" s="20"/>
      <c r="U55" s="23" t="str">
        <f aca="false">IF($B55="","",IF(OR($T55&lt;=2,$I55="Editorial"),"REDO",""))</f>
        <v/>
      </c>
      <c r="V55" s="18" t="str">
        <f aca="false">IF($S55&lt;&gt;"DUE","",COUNTIF($S$3:$S55,"DUE"))</f>
        <v/>
      </c>
    </row>
    <row r="56" customFormat="false" ht="15" hidden="false" customHeight="false" outlineLevel="0" collapsed="false">
      <c r="A56" s="12" t="str">
        <f aca="false">IF($F56="","",ROW()-2)</f>
        <v/>
      </c>
      <c r="B56" s="19"/>
      <c r="C56" s="20"/>
      <c r="D56" s="21"/>
      <c r="E56" s="21"/>
      <c r="F56" s="21"/>
      <c r="G56" s="20"/>
      <c r="H56" s="21"/>
      <c r="I56" s="20"/>
      <c r="J56" s="20"/>
      <c r="K56" s="21"/>
      <c r="L56" s="21"/>
      <c r="M56" s="22" t="str">
        <f aca="false">IF($B56="","",$B56+2)</f>
        <v/>
      </c>
      <c r="N56" s="20"/>
      <c r="O56" s="22" t="str">
        <f aca="false">IF($B56="","",$B56+5)</f>
        <v/>
      </c>
      <c r="P56" s="20"/>
      <c r="Q56" s="22" t="str">
        <f aca="false">IF($B56="","",$B56+10)</f>
        <v/>
      </c>
      <c r="R56" s="20"/>
      <c r="S56" s="23" t="str">
        <f aca="true">IF($B56="","",IF(AND($N56="Y",$P56="Y",$R56="Y"),"Done",IF(OR(AND($M56&lt;=TODAY(),$N56&lt;&gt;"Y"),AND($O56&lt;=TODAY(),$P56&lt;&gt;"Y"),AND($Q56&lt;=TODAY(),$R56&lt;&gt;"Y")),"DUE","Scheduled")))</f>
        <v/>
      </c>
      <c r="T56" s="20"/>
      <c r="U56" s="23" t="str">
        <f aca="false">IF($B56="","",IF(OR($T56&lt;=2,$I56="Editorial"),"REDO",""))</f>
        <v/>
      </c>
      <c r="V56" s="18" t="str">
        <f aca="false">IF($S56&lt;&gt;"DUE","",COUNTIF($S$3:$S56,"DUE"))</f>
        <v/>
      </c>
    </row>
    <row r="57" customFormat="false" ht="15" hidden="false" customHeight="false" outlineLevel="0" collapsed="false">
      <c r="A57" s="12" t="str">
        <f aca="false">IF($F57="","",ROW()-2)</f>
        <v/>
      </c>
      <c r="B57" s="19"/>
      <c r="C57" s="20"/>
      <c r="D57" s="21"/>
      <c r="E57" s="21"/>
      <c r="F57" s="21"/>
      <c r="G57" s="20"/>
      <c r="H57" s="21"/>
      <c r="I57" s="20"/>
      <c r="J57" s="20"/>
      <c r="K57" s="21"/>
      <c r="L57" s="21"/>
      <c r="M57" s="22" t="str">
        <f aca="false">IF($B57="","",$B57+2)</f>
        <v/>
      </c>
      <c r="N57" s="20"/>
      <c r="O57" s="22" t="str">
        <f aca="false">IF($B57="","",$B57+5)</f>
        <v/>
      </c>
      <c r="P57" s="20"/>
      <c r="Q57" s="22" t="str">
        <f aca="false">IF($B57="","",$B57+10)</f>
        <v/>
      </c>
      <c r="R57" s="20"/>
      <c r="S57" s="23" t="str">
        <f aca="true">IF($B57="","",IF(AND($N57="Y",$P57="Y",$R57="Y"),"Done",IF(OR(AND($M57&lt;=TODAY(),$N57&lt;&gt;"Y"),AND($O57&lt;=TODAY(),$P57&lt;&gt;"Y"),AND($Q57&lt;=TODAY(),$R57&lt;&gt;"Y")),"DUE","Scheduled")))</f>
        <v/>
      </c>
      <c r="T57" s="20"/>
      <c r="U57" s="23" t="str">
        <f aca="false">IF($B57="","",IF(OR($T57&lt;=2,$I57="Editorial"),"REDO",""))</f>
        <v/>
      </c>
      <c r="V57" s="18" t="str">
        <f aca="false">IF($S57&lt;&gt;"DUE","",COUNTIF($S$3:$S57,"DUE"))</f>
        <v/>
      </c>
    </row>
    <row r="58" customFormat="false" ht="15" hidden="false" customHeight="false" outlineLevel="0" collapsed="false">
      <c r="A58" s="12" t="str">
        <f aca="false">IF($F58="","",ROW()-2)</f>
        <v/>
      </c>
      <c r="B58" s="19"/>
      <c r="C58" s="20"/>
      <c r="D58" s="21"/>
      <c r="E58" s="21"/>
      <c r="F58" s="21"/>
      <c r="G58" s="20"/>
      <c r="H58" s="21"/>
      <c r="I58" s="20"/>
      <c r="J58" s="20"/>
      <c r="K58" s="21"/>
      <c r="L58" s="21"/>
      <c r="M58" s="22" t="str">
        <f aca="false">IF($B58="","",$B58+2)</f>
        <v/>
      </c>
      <c r="N58" s="20"/>
      <c r="O58" s="22" t="str">
        <f aca="false">IF($B58="","",$B58+5)</f>
        <v/>
      </c>
      <c r="P58" s="20"/>
      <c r="Q58" s="22" t="str">
        <f aca="false">IF($B58="","",$B58+10)</f>
        <v/>
      </c>
      <c r="R58" s="20"/>
      <c r="S58" s="23" t="str">
        <f aca="true">IF($B58="","",IF(AND($N58="Y",$P58="Y",$R58="Y"),"Done",IF(OR(AND($M58&lt;=TODAY(),$N58&lt;&gt;"Y"),AND($O58&lt;=TODAY(),$P58&lt;&gt;"Y"),AND($Q58&lt;=TODAY(),$R58&lt;&gt;"Y")),"DUE","Scheduled")))</f>
        <v/>
      </c>
      <c r="T58" s="20"/>
      <c r="U58" s="23" t="str">
        <f aca="false">IF($B58="","",IF(OR($T58&lt;=2,$I58="Editorial"),"REDO",""))</f>
        <v/>
      </c>
      <c r="V58" s="18" t="str">
        <f aca="false">IF($S58&lt;&gt;"DUE","",COUNTIF($S$3:$S58,"DUE"))</f>
        <v/>
      </c>
    </row>
    <row r="59" customFormat="false" ht="15" hidden="false" customHeight="false" outlineLevel="0" collapsed="false">
      <c r="A59" s="12" t="str">
        <f aca="false">IF($F59="","",ROW()-2)</f>
        <v/>
      </c>
      <c r="B59" s="19"/>
      <c r="C59" s="20"/>
      <c r="D59" s="21"/>
      <c r="E59" s="21"/>
      <c r="F59" s="21"/>
      <c r="G59" s="20"/>
      <c r="H59" s="21"/>
      <c r="I59" s="20"/>
      <c r="J59" s="20"/>
      <c r="K59" s="21"/>
      <c r="L59" s="21"/>
      <c r="M59" s="22" t="str">
        <f aca="false">IF($B59="","",$B59+2)</f>
        <v/>
      </c>
      <c r="N59" s="20"/>
      <c r="O59" s="22" t="str">
        <f aca="false">IF($B59="","",$B59+5)</f>
        <v/>
      </c>
      <c r="P59" s="20"/>
      <c r="Q59" s="22" t="str">
        <f aca="false">IF($B59="","",$B59+10)</f>
        <v/>
      </c>
      <c r="R59" s="20"/>
      <c r="S59" s="23" t="str">
        <f aca="true">IF($B59="","",IF(AND($N59="Y",$P59="Y",$R59="Y"),"Done",IF(OR(AND($M59&lt;=TODAY(),$N59&lt;&gt;"Y"),AND($O59&lt;=TODAY(),$P59&lt;&gt;"Y"),AND($Q59&lt;=TODAY(),$R59&lt;&gt;"Y")),"DUE","Scheduled")))</f>
        <v/>
      </c>
      <c r="T59" s="20"/>
      <c r="U59" s="23" t="str">
        <f aca="false">IF($B59="","",IF(OR($T59&lt;=2,$I59="Editorial"),"REDO",""))</f>
        <v/>
      </c>
      <c r="V59" s="18" t="str">
        <f aca="false">IF($S59&lt;&gt;"DUE","",COUNTIF($S$3:$S59,"DUE"))</f>
        <v/>
      </c>
    </row>
    <row r="60" customFormat="false" ht="15" hidden="false" customHeight="false" outlineLevel="0" collapsed="false">
      <c r="A60" s="12" t="str">
        <f aca="false">IF($F60="","",ROW()-2)</f>
        <v/>
      </c>
      <c r="B60" s="19"/>
      <c r="C60" s="20"/>
      <c r="D60" s="21"/>
      <c r="E60" s="21"/>
      <c r="F60" s="21"/>
      <c r="G60" s="20"/>
      <c r="H60" s="21"/>
      <c r="I60" s="20"/>
      <c r="J60" s="20"/>
      <c r="K60" s="21"/>
      <c r="L60" s="21"/>
      <c r="M60" s="22" t="str">
        <f aca="false">IF($B60="","",$B60+2)</f>
        <v/>
      </c>
      <c r="N60" s="20"/>
      <c r="O60" s="22" t="str">
        <f aca="false">IF($B60="","",$B60+5)</f>
        <v/>
      </c>
      <c r="P60" s="20"/>
      <c r="Q60" s="22" t="str">
        <f aca="false">IF($B60="","",$B60+10)</f>
        <v/>
      </c>
      <c r="R60" s="20"/>
      <c r="S60" s="23" t="str">
        <f aca="true">IF($B60="","",IF(AND($N60="Y",$P60="Y",$R60="Y"),"Done",IF(OR(AND($M60&lt;=TODAY(),$N60&lt;&gt;"Y"),AND($O60&lt;=TODAY(),$P60&lt;&gt;"Y"),AND($Q60&lt;=TODAY(),$R60&lt;&gt;"Y")),"DUE","Scheduled")))</f>
        <v/>
      </c>
      <c r="T60" s="20"/>
      <c r="U60" s="23" t="str">
        <f aca="false">IF($B60="","",IF(OR($T60&lt;=2,$I60="Editorial"),"REDO",""))</f>
        <v/>
      </c>
      <c r="V60" s="18" t="str">
        <f aca="false">IF($S60&lt;&gt;"DUE","",COUNTIF($S$3:$S60,"DUE"))</f>
        <v/>
      </c>
    </row>
    <row r="61" customFormat="false" ht="15" hidden="false" customHeight="false" outlineLevel="0" collapsed="false">
      <c r="A61" s="12" t="str">
        <f aca="false">IF($F61="","",ROW()-2)</f>
        <v/>
      </c>
      <c r="B61" s="19"/>
      <c r="C61" s="20"/>
      <c r="D61" s="21"/>
      <c r="E61" s="21"/>
      <c r="F61" s="21"/>
      <c r="G61" s="20"/>
      <c r="H61" s="21"/>
      <c r="I61" s="20"/>
      <c r="J61" s="20"/>
      <c r="K61" s="21"/>
      <c r="L61" s="21"/>
      <c r="M61" s="22" t="str">
        <f aca="false">IF($B61="","",$B61+2)</f>
        <v/>
      </c>
      <c r="N61" s="20"/>
      <c r="O61" s="22" t="str">
        <f aca="false">IF($B61="","",$B61+5)</f>
        <v/>
      </c>
      <c r="P61" s="20"/>
      <c r="Q61" s="22" t="str">
        <f aca="false">IF($B61="","",$B61+10)</f>
        <v/>
      </c>
      <c r="R61" s="20"/>
      <c r="S61" s="23" t="str">
        <f aca="true">IF($B61="","",IF(AND($N61="Y",$P61="Y",$R61="Y"),"Done",IF(OR(AND($M61&lt;=TODAY(),$N61&lt;&gt;"Y"),AND($O61&lt;=TODAY(),$P61&lt;&gt;"Y"),AND($Q61&lt;=TODAY(),$R61&lt;&gt;"Y")),"DUE","Scheduled")))</f>
        <v/>
      </c>
      <c r="T61" s="20"/>
      <c r="U61" s="23" t="str">
        <f aca="false">IF($B61="","",IF(OR($T61&lt;=2,$I61="Editorial"),"REDO",""))</f>
        <v/>
      </c>
      <c r="V61" s="18" t="str">
        <f aca="false">IF($S61&lt;&gt;"DUE","",COUNTIF($S$3:$S61,"DUE"))</f>
        <v/>
      </c>
    </row>
    <row r="62" customFormat="false" ht="15" hidden="false" customHeight="false" outlineLevel="0" collapsed="false">
      <c r="A62" s="12" t="str">
        <f aca="false">IF($F62="","",ROW()-2)</f>
        <v/>
      </c>
      <c r="B62" s="19"/>
      <c r="C62" s="20"/>
      <c r="D62" s="21"/>
      <c r="E62" s="21"/>
      <c r="F62" s="21"/>
      <c r="G62" s="20"/>
      <c r="H62" s="21"/>
      <c r="I62" s="20"/>
      <c r="J62" s="20"/>
      <c r="K62" s="21"/>
      <c r="L62" s="21"/>
      <c r="M62" s="22" t="str">
        <f aca="false">IF($B62="","",$B62+2)</f>
        <v/>
      </c>
      <c r="N62" s="20"/>
      <c r="O62" s="22" t="str">
        <f aca="false">IF($B62="","",$B62+5)</f>
        <v/>
      </c>
      <c r="P62" s="20"/>
      <c r="Q62" s="22" t="str">
        <f aca="false">IF($B62="","",$B62+10)</f>
        <v/>
      </c>
      <c r="R62" s="20"/>
      <c r="S62" s="23" t="str">
        <f aca="true">IF($B62="","",IF(AND($N62="Y",$P62="Y",$R62="Y"),"Done",IF(OR(AND($M62&lt;=TODAY(),$N62&lt;&gt;"Y"),AND($O62&lt;=TODAY(),$P62&lt;&gt;"Y"),AND($Q62&lt;=TODAY(),$R62&lt;&gt;"Y")),"DUE","Scheduled")))</f>
        <v/>
      </c>
      <c r="T62" s="20"/>
      <c r="U62" s="23" t="str">
        <f aca="false">IF($B62="","",IF(OR($T62&lt;=2,$I62="Editorial"),"REDO",""))</f>
        <v/>
      </c>
      <c r="V62" s="18" t="str">
        <f aca="false">IF($S62&lt;&gt;"DUE","",COUNTIF($S$3:$S62,"DUE"))</f>
        <v/>
      </c>
    </row>
    <row r="63" customFormat="false" ht="15" hidden="false" customHeight="false" outlineLevel="0" collapsed="false">
      <c r="A63" s="12" t="str">
        <f aca="false">IF($F63="","",ROW()-2)</f>
        <v/>
      </c>
      <c r="B63" s="19"/>
      <c r="C63" s="20"/>
      <c r="D63" s="21"/>
      <c r="E63" s="21"/>
      <c r="F63" s="21"/>
      <c r="G63" s="20"/>
      <c r="H63" s="21"/>
      <c r="I63" s="20"/>
      <c r="J63" s="20"/>
      <c r="K63" s="21"/>
      <c r="L63" s="21"/>
      <c r="M63" s="22" t="str">
        <f aca="false">IF($B63="","",$B63+2)</f>
        <v/>
      </c>
      <c r="N63" s="20"/>
      <c r="O63" s="22" t="str">
        <f aca="false">IF($B63="","",$B63+5)</f>
        <v/>
      </c>
      <c r="P63" s="20"/>
      <c r="Q63" s="22" t="str">
        <f aca="false">IF($B63="","",$B63+10)</f>
        <v/>
      </c>
      <c r="R63" s="20"/>
      <c r="S63" s="23" t="str">
        <f aca="true">IF($B63="","",IF(AND($N63="Y",$P63="Y",$R63="Y"),"Done",IF(OR(AND($M63&lt;=TODAY(),$N63&lt;&gt;"Y"),AND($O63&lt;=TODAY(),$P63&lt;&gt;"Y"),AND($Q63&lt;=TODAY(),$R63&lt;&gt;"Y")),"DUE","Scheduled")))</f>
        <v/>
      </c>
      <c r="T63" s="20"/>
      <c r="U63" s="23" t="str">
        <f aca="false">IF($B63="","",IF(OR($T63&lt;=2,$I63="Editorial"),"REDO",""))</f>
        <v/>
      </c>
      <c r="V63" s="18" t="str">
        <f aca="false">IF($S63&lt;&gt;"DUE","",COUNTIF($S$3:$S63,"DUE"))</f>
        <v/>
      </c>
    </row>
    <row r="64" customFormat="false" ht="15" hidden="false" customHeight="false" outlineLevel="0" collapsed="false">
      <c r="A64" s="12" t="str">
        <f aca="false">IF($F64="","",ROW()-2)</f>
        <v/>
      </c>
      <c r="B64" s="19"/>
      <c r="C64" s="20"/>
      <c r="D64" s="21"/>
      <c r="E64" s="21"/>
      <c r="F64" s="21"/>
      <c r="G64" s="20"/>
      <c r="H64" s="21"/>
      <c r="I64" s="20"/>
      <c r="J64" s="20"/>
      <c r="K64" s="21"/>
      <c r="L64" s="21"/>
      <c r="M64" s="22" t="str">
        <f aca="false">IF($B64="","",$B64+2)</f>
        <v/>
      </c>
      <c r="N64" s="20"/>
      <c r="O64" s="22" t="str">
        <f aca="false">IF($B64="","",$B64+5)</f>
        <v/>
      </c>
      <c r="P64" s="20"/>
      <c r="Q64" s="22" t="str">
        <f aca="false">IF($B64="","",$B64+10)</f>
        <v/>
      </c>
      <c r="R64" s="20"/>
      <c r="S64" s="23" t="str">
        <f aca="true">IF($B64="","",IF(AND($N64="Y",$P64="Y",$R64="Y"),"Done",IF(OR(AND($M64&lt;=TODAY(),$N64&lt;&gt;"Y"),AND($O64&lt;=TODAY(),$P64&lt;&gt;"Y"),AND($Q64&lt;=TODAY(),$R64&lt;&gt;"Y")),"DUE","Scheduled")))</f>
        <v/>
      </c>
      <c r="T64" s="20"/>
      <c r="U64" s="23" t="str">
        <f aca="false">IF($B64="","",IF(OR($T64&lt;=2,$I64="Editorial"),"REDO",""))</f>
        <v/>
      </c>
      <c r="V64" s="18" t="str">
        <f aca="false">IF($S64&lt;&gt;"DUE","",COUNTIF($S$3:$S64,"DUE"))</f>
        <v/>
      </c>
    </row>
    <row r="65" customFormat="false" ht="15" hidden="false" customHeight="false" outlineLevel="0" collapsed="false">
      <c r="A65" s="12" t="str">
        <f aca="false">IF($F65="","",ROW()-2)</f>
        <v/>
      </c>
      <c r="B65" s="19"/>
      <c r="C65" s="20"/>
      <c r="D65" s="21"/>
      <c r="E65" s="21"/>
      <c r="F65" s="21"/>
      <c r="G65" s="20"/>
      <c r="H65" s="21"/>
      <c r="I65" s="20"/>
      <c r="J65" s="20"/>
      <c r="K65" s="21"/>
      <c r="L65" s="21"/>
      <c r="M65" s="22" t="str">
        <f aca="false">IF($B65="","",$B65+2)</f>
        <v/>
      </c>
      <c r="N65" s="20"/>
      <c r="O65" s="22" t="str">
        <f aca="false">IF($B65="","",$B65+5)</f>
        <v/>
      </c>
      <c r="P65" s="20"/>
      <c r="Q65" s="22" t="str">
        <f aca="false">IF($B65="","",$B65+10)</f>
        <v/>
      </c>
      <c r="R65" s="20"/>
      <c r="S65" s="23" t="str">
        <f aca="true">IF($B65="","",IF(AND($N65="Y",$P65="Y",$R65="Y"),"Done",IF(OR(AND($M65&lt;=TODAY(),$N65&lt;&gt;"Y"),AND($O65&lt;=TODAY(),$P65&lt;&gt;"Y"),AND($Q65&lt;=TODAY(),$R65&lt;&gt;"Y")),"DUE","Scheduled")))</f>
        <v/>
      </c>
      <c r="T65" s="20"/>
      <c r="U65" s="23" t="str">
        <f aca="false">IF($B65="","",IF(OR($T65&lt;=2,$I65="Editorial"),"REDO",""))</f>
        <v/>
      </c>
      <c r="V65" s="18" t="str">
        <f aca="false">IF($S65&lt;&gt;"DUE","",COUNTIF($S$3:$S65,"DUE"))</f>
        <v/>
      </c>
    </row>
    <row r="66" customFormat="false" ht="15" hidden="false" customHeight="false" outlineLevel="0" collapsed="false">
      <c r="A66" s="12" t="str">
        <f aca="false">IF($F66="","",ROW()-2)</f>
        <v/>
      </c>
      <c r="B66" s="19"/>
      <c r="C66" s="20"/>
      <c r="D66" s="21"/>
      <c r="E66" s="21"/>
      <c r="F66" s="21"/>
      <c r="G66" s="20"/>
      <c r="H66" s="21"/>
      <c r="I66" s="20"/>
      <c r="J66" s="20"/>
      <c r="K66" s="21"/>
      <c r="L66" s="21"/>
      <c r="M66" s="22" t="str">
        <f aca="false">IF($B66="","",$B66+2)</f>
        <v/>
      </c>
      <c r="N66" s="20"/>
      <c r="O66" s="22" t="str">
        <f aca="false">IF($B66="","",$B66+5)</f>
        <v/>
      </c>
      <c r="P66" s="20"/>
      <c r="Q66" s="22" t="str">
        <f aca="false">IF($B66="","",$B66+10)</f>
        <v/>
      </c>
      <c r="R66" s="20"/>
      <c r="S66" s="23" t="str">
        <f aca="true">IF($B66="","",IF(AND($N66="Y",$P66="Y",$R66="Y"),"Done",IF(OR(AND($M66&lt;=TODAY(),$N66&lt;&gt;"Y"),AND($O66&lt;=TODAY(),$P66&lt;&gt;"Y"),AND($Q66&lt;=TODAY(),$R66&lt;&gt;"Y")),"DUE","Scheduled")))</f>
        <v/>
      </c>
      <c r="T66" s="20"/>
      <c r="U66" s="23" t="str">
        <f aca="false">IF($B66="","",IF(OR($T66&lt;=2,$I66="Editorial"),"REDO",""))</f>
        <v/>
      </c>
      <c r="V66" s="18" t="str">
        <f aca="false">IF($S66&lt;&gt;"DUE","",COUNTIF($S$3:$S66,"DUE"))</f>
        <v/>
      </c>
    </row>
    <row r="67" customFormat="false" ht="15" hidden="false" customHeight="false" outlineLevel="0" collapsed="false">
      <c r="A67" s="12" t="str">
        <f aca="false">IF($F67="","",ROW()-2)</f>
        <v/>
      </c>
      <c r="B67" s="19"/>
      <c r="C67" s="20"/>
      <c r="D67" s="21"/>
      <c r="E67" s="21"/>
      <c r="F67" s="21"/>
      <c r="G67" s="20"/>
      <c r="H67" s="21"/>
      <c r="I67" s="20"/>
      <c r="J67" s="20"/>
      <c r="K67" s="21"/>
      <c r="L67" s="21"/>
      <c r="M67" s="22" t="str">
        <f aca="false">IF($B67="","",$B67+2)</f>
        <v/>
      </c>
      <c r="N67" s="20"/>
      <c r="O67" s="22" t="str">
        <f aca="false">IF($B67="","",$B67+5)</f>
        <v/>
      </c>
      <c r="P67" s="20"/>
      <c r="Q67" s="22" t="str">
        <f aca="false">IF($B67="","",$B67+10)</f>
        <v/>
      </c>
      <c r="R67" s="20"/>
      <c r="S67" s="23" t="str">
        <f aca="true">IF($B67="","",IF(AND($N67="Y",$P67="Y",$R67="Y"),"Done",IF(OR(AND($M67&lt;=TODAY(),$N67&lt;&gt;"Y"),AND($O67&lt;=TODAY(),$P67&lt;&gt;"Y"),AND($Q67&lt;=TODAY(),$R67&lt;&gt;"Y")),"DUE","Scheduled")))</f>
        <v/>
      </c>
      <c r="T67" s="20"/>
      <c r="U67" s="23" t="str">
        <f aca="false">IF($B67="","",IF(OR($T67&lt;=2,$I67="Editorial"),"REDO",""))</f>
        <v/>
      </c>
      <c r="V67" s="18" t="str">
        <f aca="false">IF($S67&lt;&gt;"DUE","",COUNTIF($S$3:$S67,"DUE"))</f>
        <v/>
      </c>
    </row>
    <row r="68" customFormat="false" ht="15" hidden="false" customHeight="false" outlineLevel="0" collapsed="false">
      <c r="A68" s="12" t="str">
        <f aca="false">IF($F68="","",ROW()-2)</f>
        <v/>
      </c>
      <c r="B68" s="19"/>
      <c r="C68" s="20"/>
      <c r="D68" s="21"/>
      <c r="E68" s="21"/>
      <c r="F68" s="21"/>
      <c r="G68" s="20"/>
      <c r="H68" s="21"/>
      <c r="I68" s="20"/>
      <c r="J68" s="20"/>
      <c r="K68" s="21"/>
      <c r="L68" s="21"/>
      <c r="M68" s="22" t="str">
        <f aca="false">IF($B68="","",$B68+2)</f>
        <v/>
      </c>
      <c r="N68" s="20"/>
      <c r="O68" s="22" t="str">
        <f aca="false">IF($B68="","",$B68+5)</f>
        <v/>
      </c>
      <c r="P68" s="20"/>
      <c r="Q68" s="22" t="str">
        <f aca="false">IF($B68="","",$B68+10)</f>
        <v/>
      </c>
      <c r="R68" s="20"/>
      <c r="S68" s="23" t="str">
        <f aca="true">IF($B68="","",IF(AND($N68="Y",$P68="Y",$R68="Y"),"Done",IF(OR(AND($M68&lt;=TODAY(),$N68&lt;&gt;"Y"),AND($O68&lt;=TODAY(),$P68&lt;&gt;"Y"),AND($Q68&lt;=TODAY(),$R68&lt;&gt;"Y")),"DUE","Scheduled")))</f>
        <v/>
      </c>
      <c r="T68" s="20"/>
      <c r="U68" s="23" t="str">
        <f aca="false">IF($B68="","",IF(OR($T68&lt;=2,$I68="Editorial"),"REDO",""))</f>
        <v/>
      </c>
      <c r="V68" s="18" t="str">
        <f aca="false">IF($S68&lt;&gt;"DUE","",COUNTIF($S$3:$S68,"DUE"))</f>
        <v/>
      </c>
    </row>
    <row r="69" customFormat="false" ht="15" hidden="false" customHeight="false" outlineLevel="0" collapsed="false">
      <c r="A69" s="12" t="str">
        <f aca="false">IF($F69="","",ROW()-2)</f>
        <v/>
      </c>
      <c r="B69" s="19"/>
      <c r="C69" s="20"/>
      <c r="D69" s="21"/>
      <c r="E69" s="21"/>
      <c r="F69" s="21"/>
      <c r="G69" s="20"/>
      <c r="H69" s="21"/>
      <c r="I69" s="20"/>
      <c r="J69" s="20"/>
      <c r="K69" s="21"/>
      <c r="L69" s="21"/>
      <c r="M69" s="22" t="str">
        <f aca="false">IF($B69="","",$B69+2)</f>
        <v/>
      </c>
      <c r="N69" s="20"/>
      <c r="O69" s="22" t="str">
        <f aca="false">IF($B69="","",$B69+5)</f>
        <v/>
      </c>
      <c r="P69" s="20"/>
      <c r="Q69" s="22" t="str">
        <f aca="false">IF($B69="","",$B69+10)</f>
        <v/>
      </c>
      <c r="R69" s="20"/>
      <c r="S69" s="23" t="str">
        <f aca="true">IF($B69="","",IF(AND($N69="Y",$P69="Y",$R69="Y"),"Done",IF(OR(AND($M69&lt;=TODAY(),$N69&lt;&gt;"Y"),AND($O69&lt;=TODAY(),$P69&lt;&gt;"Y"),AND($Q69&lt;=TODAY(),$R69&lt;&gt;"Y")),"DUE","Scheduled")))</f>
        <v/>
      </c>
      <c r="T69" s="20"/>
      <c r="U69" s="23" t="str">
        <f aca="false">IF($B69="","",IF(OR($T69&lt;=2,$I69="Editorial"),"REDO",""))</f>
        <v/>
      </c>
      <c r="V69" s="18" t="str">
        <f aca="false">IF($S69&lt;&gt;"DUE","",COUNTIF($S$3:$S69,"DUE"))</f>
        <v/>
      </c>
    </row>
    <row r="70" customFormat="false" ht="15" hidden="false" customHeight="false" outlineLevel="0" collapsed="false">
      <c r="A70" s="12" t="str">
        <f aca="false">IF($F70="","",ROW()-2)</f>
        <v/>
      </c>
      <c r="B70" s="19"/>
      <c r="C70" s="20"/>
      <c r="D70" s="21"/>
      <c r="E70" s="21"/>
      <c r="F70" s="21"/>
      <c r="G70" s="20"/>
      <c r="H70" s="21"/>
      <c r="I70" s="20"/>
      <c r="J70" s="20"/>
      <c r="K70" s="21"/>
      <c r="L70" s="21"/>
      <c r="M70" s="22" t="str">
        <f aca="false">IF($B70="","",$B70+2)</f>
        <v/>
      </c>
      <c r="N70" s="20"/>
      <c r="O70" s="22" t="str">
        <f aca="false">IF($B70="","",$B70+5)</f>
        <v/>
      </c>
      <c r="P70" s="20"/>
      <c r="Q70" s="22" t="str">
        <f aca="false">IF($B70="","",$B70+10)</f>
        <v/>
      </c>
      <c r="R70" s="20"/>
      <c r="S70" s="23" t="str">
        <f aca="true">IF($B70="","",IF(AND($N70="Y",$P70="Y",$R70="Y"),"Done",IF(OR(AND($M70&lt;=TODAY(),$N70&lt;&gt;"Y"),AND($O70&lt;=TODAY(),$P70&lt;&gt;"Y"),AND($Q70&lt;=TODAY(),$R70&lt;&gt;"Y")),"DUE","Scheduled")))</f>
        <v/>
      </c>
      <c r="T70" s="20"/>
      <c r="U70" s="23" t="str">
        <f aca="false">IF($B70="","",IF(OR($T70&lt;=2,$I70="Editorial"),"REDO",""))</f>
        <v/>
      </c>
      <c r="V70" s="18" t="str">
        <f aca="false">IF($S70&lt;&gt;"DUE","",COUNTIF($S$3:$S70,"DUE"))</f>
        <v/>
      </c>
    </row>
    <row r="71" customFormat="false" ht="15" hidden="false" customHeight="false" outlineLevel="0" collapsed="false">
      <c r="A71" s="12" t="str">
        <f aca="false">IF($F71="","",ROW()-2)</f>
        <v/>
      </c>
      <c r="B71" s="19"/>
      <c r="C71" s="20"/>
      <c r="D71" s="21"/>
      <c r="E71" s="21"/>
      <c r="F71" s="21"/>
      <c r="G71" s="20"/>
      <c r="H71" s="21"/>
      <c r="I71" s="20"/>
      <c r="J71" s="20"/>
      <c r="K71" s="21"/>
      <c r="L71" s="21"/>
      <c r="M71" s="22" t="str">
        <f aca="false">IF($B71="","",$B71+2)</f>
        <v/>
      </c>
      <c r="N71" s="20"/>
      <c r="O71" s="22" t="str">
        <f aca="false">IF($B71="","",$B71+5)</f>
        <v/>
      </c>
      <c r="P71" s="20"/>
      <c r="Q71" s="22" t="str">
        <f aca="false">IF($B71="","",$B71+10)</f>
        <v/>
      </c>
      <c r="R71" s="20"/>
      <c r="S71" s="23" t="str">
        <f aca="true">IF($B71="","",IF(AND($N71="Y",$P71="Y",$R71="Y"),"Done",IF(OR(AND($M71&lt;=TODAY(),$N71&lt;&gt;"Y"),AND($O71&lt;=TODAY(),$P71&lt;&gt;"Y"),AND($Q71&lt;=TODAY(),$R71&lt;&gt;"Y")),"DUE","Scheduled")))</f>
        <v/>
      </c>
      <c r="T71" s="20"/>
      <c r="U71" s="23" t="str">
        <f aca="false">IF($B71="","",IF(OR($T71&lt;=2,$I71="Editorial"),"REDO",""))</f>
        <v/>
      </c>
      <c r="V71" s="18" t="str">
        <f aca="false">IF($S71&lt;&gt;"DUE","",COUNTIF($S$3:$S71,"DUE"))</f>
        <v/>
      </c>
    </row>
    <row r="72" customFormat="false" ht="15" hidden="false" customHeight="false" outlineLevel="0" collapsed="false">
      <c r="A72" s="12" t="str">
        <f aca="false">IF($F72="","",ROW()-2)</f>
        <v/>
      </c>
      <c r="B72" s="19"/>
      <c r="C72" s="20"/>
      <c r="D72" s="21"/>
      <c r="E72" s="21"/>
      <c r="F72" s="21"/>
      <c r="G72" s="20"/>
      <c r="H72" s="21"/>
      <c r="I72" s="20"/>
      <c r="J72" s="20"/>
      <c r="K72" s="21"/>
      <c r="L72" s="21"/>
      <c r="M72" s="22" t="str">
        <f aca="false">IF($B72="","",$B72+2)</f>
        <v/>
      </c>
      <c r="N72" s="20"/>
      <c r="O72" s="22" t="str">
        <f aca="false">IF($B72="","",$B72+5)</f>
        <v/>
      </c>
      <c r="P72" s="20"/>
      <c r="Q72" s="22" t="str">
        <f aca="false">IF($B72="","",$B72+10)</f>
        <v/>
      </c>
      <c r="R72" s="20"/>
      <c r="S72" s="23" t="str">
        <f aca="true">IF($B72="","",IF(AND($N72="Y",$P72="Y",$R72="Y"),"Done",IF(OR(AND($M72&lt;=TODAY(),$N72&lt;&gt;"Y"),AND($O72&lt;=TODAY(),$P72&lt;&gt;"Y"),AND($Q72&lt;=TODAY(),$R72&lt;&gt;"Y")),"DUE","Scheduled")))</f>
        <v/>
      </c>
      <c r="T72" s="20"/>
      <c r="U72" s="23" t="str">
        <f aca="false">IF($B72="","",IF(OR($T72&lt;=2,$I72="Editorial"),"REDO",""))</f>
        <v/>
      </c>
      <c r="V72" s="18" t="str">
        <f aca="false">IF($S72&lt;&gt;"DUE","",COUNTIF($S$3:$S72,"DUE"))</f>
        <v/>
      </c>
    </row>
    <row r="73" customFormat="false" ht="15" hidden="false" customHeight="false" outlineLevel="0" collapsed="false">
      <c r="A73" s="12" t="str">
        <f aca="false">IF($F73="","",ROW()-2)</f>
        <v/>
      </c>
      <c r="B73" s="19"/>
      <c r="C73" s="20"/>
      <c r="D73" s="21"/>
      <c r="E73" s="21"/>
      <c r="F73" s="21"/>
      <c r="G73" s="20"/>
      <c r="H73" s="21"/>
      <c r="I73" s="20"/>
      <c r="J73" s="20"/>
      <c r="K73" s="21"/>
      <c r="L73" s="21"/>
      <c r="M73" s="22" t="str">
        <f aca="false">IF($B73="","",$B73+2)</f>
        <v/>
      </c>
      <c r="N73" s="20"/>
      <c r="O73" s="22" t="str">
        <f aca="false">IF($B73="","",$B73+5)</f>
        <v/>
      </c>
      <c r="P73" s="20"/>
      <c r="Q73" s="22" t="str">
        <f aca="false">IF($B73="","",$B73+10)</f>
        <v/>
      </c>
      <c r="R73" s="20"/>
      <c r="S73" s="23" t="str">
        <f aca="true">IF($B73="","",IF(AND($N73="Y",$P73="Y",$R73="Y"),"Done",IF(OR(AND($M73&lt;=TODAY(),$N73&lt;&gt;"Y"),AND($O73&lt;=TODAY(),$P73&lt;&gt;"Y"),AND($Q73&lt;=TODAY(),$R73&lt;&gt;"Y")),"DUE","Scheduled")))</f>
        <v/>
      </c>
      <c r="T73" s="20"/>
      <c r="U73" s="23" t="str">
        <f aca="false">IF($B73="","",IF(OR($T73&lt;=2,$I73="Editorial"),"REDO",""))</f>
        <v/>
      </c>
      <c r="V73" s="18" t="str">
        <f aca="false">IF($S73&lt;&gt;"DUE","",COUNTIF($S$3:$S73,"DUE"))</f>
        <v/>
      </c>
    </row>
    <row r="74" customFormat="false" ht="15" hidden="false" customHeight="false" outlineLevel="0" collapsed="false">
      <c r="A74" s="12" t="str">
        <f aca="false">IF($F74="","",ROW()-2)</f>
        <v/>
      </c>
      <c r="B74" s="19"/>
      <c r="C74" s="20"/>
      <c r="D74" s="21"/>
      <c r="E74" s="21"/>
      <c r="F74" s="21"/>
      <c r="G74" s="20"/>
      <c r="H74" s="21"/>
      <c r="I74" s="20"/>
      <c r="J74" s="20"/>
      <c r="K74" s="21"/>
      <c r="L74" s="21"/>
      <c r="M74" s="22" t="str">
        <f aca="false">IF($B74="","",$B74+2)</f>
        <v/>
      </c>
      <c r="N74" s="20"/>
      <c r="O74" s="22" t="str">
        <f aca="false">IF($B74="","",$B74+5)</f>
        <v/>
      </c>
      <c r="P74" s="20"/>
      <c r="Q74" s="22" t="str">
        <f aca="false">IF($B74="","",$B74+10)</f>
        <v/>
      </c>
      <c r="R74" s="20"/>
      <c r="S74" s="23" t="str">
        <f aca="true">IF($B74="","",IF(AND($N74="Y",$P74="Y",$R74="Y"),"Done",IF(OR(AND($M74&lt;=TODAY(),$N74&lt;&gt;"Y"),AND($O74&lt;=TODAY(),$P74&lt;&gt;"Y"),AND($Q74&lt;=TODAY(),$R74&lt;&gt;"Y")),"DUE","Scheduled")))</f>
        <v/>
      </c>
      <c r="T74" s="20"/>
      <c r="U74" s="23" t="str">
        <f aca="false">IF($B74="","",IF(OR($T74&lt;=2,$I74="Editorial"),"REDO",""))</f>
        <v/>
      </c>
      <c r="V74" s="18" t="str">
        <f aca="false">IF($S74&lt;&gt;"DUE","",COUNTIF($S$3:$S74,"DUE"))</f>
        <v/>
      </c>
    </row>
    <row r="75" customFormat="false" ht="15" hidden="false" customHeight="false" outlineLevel="0" collapsed="false">
      <c r="A75" s="12" t="str">
        <f aca="false">IF($F75="","",ROW()-2)</f>
        <v/>
      </c>
      <c r="B75" s="19"/>
      <c r="C75" s="20"/>
      <c r="D75" s="21"/>
      <c r="E75" s="21"/>
      <c r="F75" s="21"/>
      <c r="G75" s="20"/>
      <c r="H75" s="21"/>
      <c r="I75" s="20"/>
      <c r="J75" s="20"/>
      <c r="K75" s="21"/>
      <c r="L75" s="21"/>
      <c r="M75" s="22" t="str">
        <f aca="false">IF($B75="","",$B75+2)</f>
        <v/>
      </c>
      <c r="N75" s="20"/>
      <c r="O75" s="22" t="str">
        <f aca="false">IF($B75="","",$B75+5)</f>
        <v/>
      </c>
      <c r="P75" s="20"/>
      <c r="Q75" s="22" t="str">
        <f aca="false">IF($B75="","",$B75+10)</f>
        <v/>
      </c>
      <c r="R75" s="20"/>
      <c r="S75" s="23" t="str">
        <f aca="true">IF($B75="","",IF(AND($N75="Y",$P75="Y",$R75="Y"),"Done",IF(OR(AND($M75&lt;=TODAY(),$N75&lt;&gt;"Y"),AND($O75&lt;=TODAY(),$P75&lt;&gt;"Y"),AND($Q75&lt;=TODAY(),$R75&lt;&gt;"Y")),"DUE","Scheduled")))</f>
        <v/>
      </c>
      <c r="T75" s="20"/>
      <c r="U75" s="23" t="str">
        <f aca="false">IF($B75="","",IF(OR($T75&lt;=2,$I75="Editorial"),"REDO",""))</f>
        <v/>
      </c>
      <c r="V75" s="18" t="str">
        <f aca="false">IF($S75&lt;&gt;"DUE","",COUNTIF($S$3:$S75,"DUE"))</f>
        <v/>
      </c>
    </row>
    <row r="76" customFormat="false" ht="15" hidden="false" customHeight="false" outlineLevel="0" collapsed="false">
      <c r="A76" s="12" t="str">
        <f aca="false">IF($F76="","",ROW()-2)</f>
        <v/>
      </c>
      <c r="B76" s="19"/>
      <c r="C76" s="20"/>
      <c r="D76" s="21"/>
      <c r="E76" s="21"/>
      <c r="F76" s="21"/>
      <c r="G76" s="20"/>
      <c r="H76" s="21"/>
      <c r="I76" s="20"/>
      <c r="J76" s="20"/>
      <c r="K76" s="21"/>
      <c r="L76" s="21"/>
      <c r="M76" s="22" t="str">
        <f aca="false">IF($B76="","",$B76+2)</f>
        <v/>
      </c>
      <c r="N76" s="20"/>
      <c r="O76" s="22" t="str">
        <f aca="false">IF($B76="","",$B76+5)</f>
        <v/>
      </c>
      <c r="P76" s="20"/>
      <c r="Q76" s="22" t="str">
        <f aca="false">IF($B76="","",$B76+10)</f>
        <v/>
      </c>
      <c r="R76" s="20"/>
      <c r="S76" s="23" t="str">
        <f aca="true">IF($B76="","",IF(AND($N76="Y",$P76="Y",$R76="Y"),"Done",IF(OR(AND($M76&lt;=TODAY(),$N76&lt;&gt;"Y"),AND($O76&lt;=TODAY(),$P76&lt;&gt;"Y"),AND($Q76&lt;=TODAY(),$R76&lt;&gt;"Y")),"DUE","Scheduled")))</f>
        <v/>
      </c>
      <c r="T76" s="20"/>
      <c r="U76" s="23" t="str">
        <f aca="false">IF($B76="","",IF(OR($T76&lt;=2,$I76="Editorial"),"REDO",""))</f>
        <v/>
      </c>
      <c r="V76" s="18" t="str">
        <f aca="false">IF($S76&lt;&gt;"DUE","",COUNTIF($S$3:$S76,"DUE"))</f>
        <v/>
      </c>
    </row>
    <row r="77" customFormat="false" ht="15" hidden="false" customHeight="false" outlineLevel="0" collapsed="false">
      <c r="A77" s="12" t="str">
        <f aca="false">IF($F77="","",ROW()-2)</f>
        <v/>
      </c>
      <c r="B77" s="19"/>
      <c r="C77" s="20"/>
      <c r="D77" s="21"/>
      <c r="E77" s="21"/>
      <c r="F77" s="21"/>
      <c r="G77" s="20"/>
      <c r="H77" s="21"/>
      <c r="I77" s="20"/>
      <c r="J77" s="20"/>
      <c r="K77" s="21"/>
      <c r="L77" s="21"/>
      <c r="M77" s="22" t="str">
        <f aca="false">IF($B77="","",$B77+2)</f>
        <v/>
      </c>
      <c r="N77" s="20"/>
      <c r="O77" s="22" t="str">
        <f aca="false">IF($B77="","",$B77+5)</f>
        <v/>
      </c>
      <c r="P77" s="20"/>
      <c r="Q77" s="22" t="str">
        <f aca="false">IF($B77="","",$B77+10)</f>
        <v/>
      </c>
      <c r="R77" s="20"/>
      <c r="S77" s="23" t="str">
        <f aca="true">IF($B77="","",IF(AND($N77="Y",$P77="Y",$R77="Y"),"Done",IF(OR(AND($M77&lt;=TODAY(),$N77&lt;&gt;"Y"),AND($O77&lt;=TODAY(),$P77&lt;&gt;"Y"),AND($Q77&lt;=TODAY(),$R77&lt;&gt;"Y")),"DUE","Scheduled")))</f>
        <v/>
      </c>
      <c r="T77" s="20"/>
      <c r="U77" s="23" t="str">
        <f aca="false">IF($B77="","",IF(OR($T77&lt;=2,$I77="Editorial"),"REDO",""))</f>
        <v/>
      </c>
      <c r="V77" s="18" t="str">
        <f aca="false">IF($S77&lt;&gt;"DUE","",COUNTIF($S$3:$S77,"DUE"))</f>
        <v/>
      </c>
    </row>
    <row r="78" customFormat="false" ht="15" hidden="false" customHeight="false" outlineLevel="0" collapsed="false">
      <c r="A78" s="12" t="str">
        <f aca="false">IF($F78="","",ROW()-2)</f>
        <v/>
      </c>
      <c r="B78" s="19"/>
      <c r="C78" s="20"/>
      <c r="D78" s="21"/>
      <c r="E78" s="21"/>
      <c r="F78" s="21"/>
      <c r="G78" s="20"/>
      <c r="H78" s="21"/>
      <c r="I78" s="20"/>
      <c r="J78" s="20"/>
      <c r="K78" s="21"/>
      <c r="L78" s="21"/>
      <c r="M78" s="22" t="str">
        <f aca="false">IF($B78="","",$B78+2)</f>
        <v/>
      </c>
      <c r="N78" s="20"/>
      <c r="O78" s="22" t="str">
        <f aca="false">IF($B78="","",$B78+5)</f>
        <v/>
      </c>
      <c r="P78" s="20"/>
      <c r="Q78" s="22" t="str">
        <f aca="false">IF($B78="","",$B78+10)</f>
        <v/>
      </c>
      <c r="R78" s="20"/>
      <c r="S78" s="23" t="str">
        <f aca="true">IF($B78="","",IF(AND($N78="Y",$P78="Y",$R78="Y"),"Done",IF(OR(AND($M78&lt;=TODAY(),$N78&lt;&gt;"Y"),AND($O78&lt;=TODAY(),$P78&lt;&gt;"Y"),AND($Q78&lt;=TODAY(),$R78&lt;&gt;"Y")),"DUE","Scheduled")))</f>
        <v/>
      </c>
      <c r="T78" s="20"/>
      <c r="U78" s="23" t="str">
        <f aca="false">IF($B78="","",IF(OR($T78&lt;=2,$I78="Editorial"),"REDO",""))</f>
        <v/>
      </c>
      <c r="V78" s="18" t="str">
        <f aca="false">IF($S78&lt;&gt;"DUE","",COUNTIF($S$3:$S78,"DUE"))</f>
        <v/>
      </c>
    </row>
    <row r="79" customFormat="false" ht="15" hidden="false" customHeight="false" outlineLevel="0" collapsed="false">
      <c r="A79" s="12" t="str">
        <f aca="false">IF($F79="","",ROW()-2)</f>
        <v/>
      </c>
      <c r="B79" s="19"/>
      <c r="C79" s="20"/>
      <c r="D79" s="21"/>
      <c r="E79" s="21"/>
      <c r="F79" s="21"/>
      <c r="G79" s="20"/>
      <c r="H79" s="21"/>
      <c r="I79" s="20"/>
      <c r="J79" s="20"/>
      <c r="K79" s="21"/>
      <c r="L79" s="21"/>
      <c r="M79" s="22" t="str">
        <f aca="false">IF($B79="","",$B79+2)</f>
        <v/>
      </c>
      <c r="N79" s="20"/>
      <c r="O79" s="22" t="str">
        <f aca="false">IF($B79="","",$B79+5)</f>
        <v/>
      </c>
      <c r="P79" s="20"/>
      <c r="Q79" s="22" t="str">
        <f aca="false">IF($B79="","",$B79+10)</f>
        <v/>
      </c>
      <c r="R79" s="20"/>
      <c r="S79" s="23" t="str">
        <f aca="true">IF($B79="","",IF(AND($N79="Y",$P79="Y",$R79="Y"),"Done",IF(OR(AND($M79&lt;=TODAY(),$N79&lt;&gt;"Y"),AND($O79&lt;=TODAY(),$P79&lt;&gt;"Y"),AND($Q79&lt;=TODAY(),$R79&lt;&gt;"Y")),"DUE","Scheduled")))</f>
        <v/>
      </c>
      <c r="T79" s="20"/>
      <c r="U79" s="23" t="str">
        <f aca="false">IF($B79="","",IF(OR($T79&lt;=2,$I79="Editorial"),"REDO",""))</f>
        <v/>
      </c>
      <c r="V79" s="18" t="str">
        <f aca="false">IF($S79&lt;&gt;"DUE","",COUNTIF($S$3:$S79,"DUE"))</f>
        <v/>
      </c>
    </row>
    <row r="80" customFormat="false" ht="15" hidden="false" customHeight="false" outlineLevel="0" collapsed="false">
      <c r="A80" s="12" t="str">
        <f aca="false">IF($F80="","",ROW()-2)</f>
        <v/>
      </c>
      <c r="B80" s="19"/>
      <c r="C80" s="20"/>
      <c r="D80" s="21"/>
      <c r="E80" s="21"/>
      <c r="F80" s="21"/>
      <c r="G80" s="20"/>
      <c r="H80" s="21"/>
      <c r="I80" s="20"/>
      <c r="J80" s="20"/>
      <c r="K80" s="21"/>
      <c r="L80" s="21"/>
      <c r="M80" s="22" t="str">
        <f aca="false">IF($B80="","",$B80+2)</f>
        <v/>
      </c>
      <c r="N80" s="20"/>
      <c r="O80" s="22" t="str">
        <f aca="false">IF($B80="","",$B80+5)</f>
        <v/>
      </c>
      <c r="P80" s="20"/>
      <c r="Q80" s="22" t="str">
        <f aca="false">IF($B80="","",$B80+10)</f>
        <v/>
      </c>
      <c r="R80" s="20"/>
      <c r="S80" s="23" t="str">
        <f aca="true">IF($B80="","",IF(AND($N80="Y",$P80="Y",$R80="Y"),"Done",IF(OR(AND($M80&lt;=TODAY(),$N80&lt;&gt;"Y"),AND($O80&lt;=TODAY(),$P80&lt;&gt;"Y"),AND($Q80&lt;=TODAY(),$R80&lt;&gt;"Y")),"DUE","Scheduled")))</f>
        <v/>
      </c>
      <c r="T80" s="20"/>
      <c r="U80" s="23" t="str">
        <f aca="false">IF($B80="","",IF(OR($T80&lt;=2,$I80="Editorial"),"REDO",""))</f>
        <v/>
      </c>
      <c r="V80" s="18" t="str">
        <f aca="false">IF($S80&lt;&gt;"DUE","",COUNTIF($S$3:$S80,"DUE"))</f>
        <v/>
      </c>
    </row>
    <row r="81" customFormat="false" ht="15" hidden="false" customHeight="false" outlineLevel="0" collapsed="false">
      <c r="A81" s="12" t="str">
        <f aca="false">IF($F81="","",ROW()-2)</f>
        <v/>
      </c>
      <c r="B81" s="19"/>
      <c r="C81" s="20"/>
      <c r="D81" s="21"/>
      <c r="E81" s="21"/>
      <c r="F81" s="21"/>
      <c r="G81" s="20"/>
      <c r="H81" s="21"/>
      <c r="I81" s="20"/>
      <c r="J81" s="20"/>
      <c r="K81" s="21"/>
      <c r="L81" s="21"/>
      <c r="M81" s="22" t="str">
        <f aca="false">IF($B81="","",$B81+2)</f>
        <v/>
      </c>
      <c r="N81" s="20"/>
      <c r="O81" s="22" t="str">
        <f aca="false">IF($B81="","",$B81+5)</f>
        <v/>
      </c>
      <c r="P81" s="20"/>
      <c r="Q81" s="22" t="str">
        <f aca="false">IF($B81="","",$B81+10)</f>
        <v/>
      </c>
      <c r="R81" s="20"/>
      <c r="S81" s="23" t="str">
        <f aca="true">IF($B81="","",IF(AND($N81="Y",$P81="Y",$R81="Y"),"Done",IF(OR(AND($M81&lt;=TODAY(),$N81&lt;&gt;"Y"),AND($O81&lt;=TODAY(),$P81&lt;&gt;"Y"),AND($Q81&lt;=TODAY(),$R81&lt;&gt;"Y")),"DUE","Scheduled")))</f>
        <v/>
      </c>
      <c r="T81" s="20"/>
      <c r="U81" s="23" t="str">
        <f aca="false">IF($B81="","",IF(OR($T81&lt;=2,$I81="Editorial"),"REDO",""))</f>
        <v/>
      </c>
      <c r="V81" s="18" t="str">
        <f aca="false">IF($S81&lt;&gt;"DUE","",COUNTIF($S$3:$S81,"DUE"))</f>
        <v/>
      </c>
    </row>
    <row r="82" customFormat="false" ht="15" hidden="false" customHeight="false" outlineLevel="0" collapsed="false">
      <c r="A82" s="12" t="str">
        <f aca="false">IF($F82="","",ROW()-2)</f>
        <v/>
      </c>
      <c r="B82" s="19"/>
      <c r="C82" s="20"/>
      <c r="D82" s="21"/>
      <c r="E82" s="21"/>
      <c r="F82" s="21"/>
      <c r="G82" s="20"/>
      <c r="H82" s="21"/>
      <c r="I82" s="20"/>
      <c r="J82" s="20"/>
      <c r="K82" s="21"/>
      <c r="L82" s="21"/>
      <c r="M82" s="22" t="str">
        <f aca="false">IF($B82="","",$B82+2)</f>
        <v/>
      </c>
      <c r="N82" s="20"/>
      <c r="O82" s="22" t="str">
        <f aca="false">IF($B82="","",$B82+5)</f>
        <v/>
      </c>
      <c r="P82" s="20"/>
      <c r="Q82" s="22" t="str">
        <f aca="false">IF($B82="","",$B82+10)</f>
        <v/>
      </c>
      <c r="R82" s="20"/>
      <c r="S82" s="23" t="str">
        <f aca="true">IF($B82="","",IF(AND($N82="Y",$P82="Y",$R82="Y"),"Done",IF(OR(AND($M82&lt;=TODAY(),$N82&lt;&gt;"Y"),AND($O82&lt;=TODAY(),$P82&lt;&gt;"Y"),AND($Q82&lt;=TODAY(),$R82&lt;&gt;"Y")),"DUE","Scheduled")))</f>
        <v/>
      </c>
      <c r="T82" s="20"/>
      <c r="U82" s="23" t="str">
        <f aca="false">IF($B82="","",IF(OR($T82&lt;=2,$I82="Editorial"),"REDO",""))</f>
        <v/>
      </c>
      <c r="V82" s="18" t="str">
        <f aca="false">IF($S82&lt;&gt;"DUE","",COUNTIF($S$3:$S82,"DUE"))</f>
        <v/>
      </c>
    </row>
    <row r="83" customFormat="false" ht="15" hidden="false" customHeight="false" outlineLevel="0" collapsed="false">
      <c r="A83" s="12" t="str">
        <f aca="false">IF($F83="","",ROW()-2)</f>
        <v/>
      </c>
      <c r="B83" s="19"/>
      <c r="C83" s="20"/>
      <c r="D83" s="21"/>
      <c r="E83" s="21"/>
      <c r="F83" s="21"/>
      <c r="G83" s="20"/>
      <c r="H83" s="21"/>
      <c r="I83" s="20"/>
      <c r="J83" s="20"/>
      <c r="K83" s="21"/>
      <c r="L83" s="21"/>
      <c r="M83" s="22" t="str">
        <f aca="false">IF($B83="","",$B83+2)</f>
        <v/>
      </c>
      <c r="N83" s="20"/>
      <c r="O83" s="22" t="str">
        <f aca="false">IF($B83="","",$B83+5)</f>
        <v/>
      </c>
      <c r="P83" s="20"/>
      <c r="Q83" s="22" t="str">
        <f aca="false">IF($B83="","",$B83+10)</f>
        <v/>
      </c>
      <c r="R83" s="20"/>
      <c r="S83" s="23" t="str">
        <f aca="true">IF($B83="","",IF(AND($N83="Y",$P83="Y",$R83="Y"),"Done",IF(OR(AND($M83&lt;=TODAY(),$N83&lt;&gt;"Y"),AND($O83&lt;=TODAY(),$P83&lt;&gt;"Y"),AND($Q83&lt;=TODAY(),$R83&lt;&gt;"Y")),"DUE","Scheduled")))</f>
        <v/>
      </c>
      <c r="T83" s="20"/>
      <c r="U83" s="23" t="str">
        <f aca="false">IF($B83="","",IF(OR($T83&lt;=2,$I83="Editorial"),"REDO",""))</f>
        <v/>
      </c>
      <c r="V83" s="18" t="str">
        <f aca="false">IF($S83&lt;&gt;"DUE","",COUNTIF($S$3:$S83,"DUE"))</f>
        <v/>
      </c>
    </row>
    <row r="84" customFormat="false" ht="15" hidden="false" customHeight="false" outlineLevel="0" collapsed="false">
      <c r="A84" s="12" t="str">
        <f aca="false">IF($F84="","",ROW()-2)</f>
        <v/>
      </c>
      <c r="B84" s="19"/>
      <c r="C84" s="20"/>
      <c r="D84" s="21"/>
      <c r="E84" s="21"/>
      <c r="F84" s="21"/>
      <c r="G84" s="20"/>
      <c r="H84" s="21"/>
      <c r="I84" s="20"/>
      <c r="J84" s="20"/>
      <c r="K84" s="21"/>
      <c r="L84" s="21"/>
      <c r="M84" s="22" t="str">
        <f aca="false">IF($B84="","",$B84+2)</f>
        <v/>
      </c>
      <c r="N84" s="20"/>
      <c r="O84" s="22" t="str">
        <f aca="false">IF($B84="","",$B84+5)</f>
        <v/>
      </c>
      <c r="P84" s="20"/>
      <c r="Q84" s="22" t="str">
        <f aca="false">IF($B84="","",$B84+10)</f>
        <v/>
      </c>
      <c r="R84" s="20"/>
      <c r="S84" s="23" t="str">
        <f aca="true">IF($B84="","",IF(AND($N84="Y",$P84="Y",$R84="Y"),"Done",IF(OR(AND($M84&lt;=TODAY(),$N84&lt;&gt;"Y"),AND($O84&lt;=TODAY(),$P84&lt;&gt;"Y"),AND($Q84&lt;=TODAY(),$R84&lt;&gt;"Y")),"DUE","Scheduled")))</f>
        <v/>
      </c>
      <c r="T84" s="20"/>
      <c r="U84" s="23" t="str">
        <f aca="false">IF($B84="","",IF(OR($T84&lt;=2,$I84="Editorial"),"REDO",""))</f>
        <v/>
      </c>
      <c r="V84" s="18" t="str">
        <f aca="false">IF($S84&lt;&gt;"DUE","",COUNTIF($S$3:$S84,"DUE"))</f>
        <v/>
      </c>
    </row>
    <row r="85" customFormat="false" ht="15" hidden="false" customHeight="false" outlineLevel="0" collapsed="false">
      <c r="A85" s="12" t="str">
        <f aca="false">IF($F85="","",ROW()-2)</f>
        <v/>
      </c>
      <c r="B85" s="19"/>
      <c r="C85" s="20"/>
      <c r="D85" s="21"/>
      <c r="E85" s="21"/>
      <c r="F85" s="21"/>
      <c r="G85" s="20"/>
      <c r="H85" s="21"/>
      <c r="I85" s="20"/>
      <c r="J85" s="20"/>
      <c r="K85" s="21"/>
      <c r="L85" s="21"/>
      <c r="M85" s="22" t="str">
        <f aca="false">IF($B85="","",$B85+2)</f>
        <v/>
      </c>
      <c r="N85" s="20"/>
      <c r="O85" s="22" t="str">
        <f aca="false">IF($B85="","",$B85+5)</f>
        <v/>
      </c>
      <c r="P85" s="20"/>
      <c r="Q85" s="22" t="str">
        <f aca="false">IF($B85="","",$B85+10)</f>
        <v/>
      </c>
      <c r="R85" s="20"/>
      <c r="S85" s="23" t="str">
        <f aca="true">IF($B85="","",IF(AND($N85="Y",$P85="Y",$R85="Y"),"Done",IF(OR(AND($M85&lt;=TODAY(),$N85&lt;&gt;"Y"),AND($O85&lt;=TODAY(),$P85&lt;&gt;"Y"),AND($Q85&lt;=TODAY(),$R85&lt;&gt;"Y")),"DUE","Scheduled")))</f>
        <v/>
      </c>
      <c r="T85" s="20"/>
      <c r="U85" s="23" t="str">
        <f aca="false">IF($B85="","",IF(OR($T85&lt;=2,$I85="Editorial"),"REDO",""))</f>
        <v/>
      </c>
      <c r="V85" s="18" t="str">
        <f aca="false">IF($S85&lt;&gt;"DUE","",COUNTIF($S$3:$S85,"DUE"))</f>
        <v/>
      </c>
    </row>
    <row r="86" customFormat="false" ht="15" hidden="false" customHeight="false" outlineLevel="0" collapsed="false">
      <c r="A86" s="12" t="str">
        <f aca="false">IF($F86="","",ROW()-2)</f>
        <v/>
      </c>
      <c r="B86" s="19"/>
      <c r="C86" s="20"/>
      <c r="D86" s="21"/>
      <c r="E86" s="21"/>
      <c r="F86" s="21"/>
      <c r="G86" s="20"/>
      <c r="H86" s="21"/>
      <c r="I86" s="20"/>
      <c r="J86" s="20"/>
      <c r="K86" s="21"/>
      <c r="L86" s="21"/>
      <c r="M86" s="22" t="str">
        <f aca="false">IF($B86="","",$B86+2)</f>
        <v/>
      </c>
      <c r="N86" s="20"/>
      <c r="O86" s="22" t="str">
        <f aca="false">IF($B86="","",$B86+5)</f>
        <v/>
      </c>
      <c r="P86" s="20"/>
      <c r="Q86" s="22" t="str">
        <f aca="false">IF($B86="","",$B86+10)</f>
        <v/>
      </c>
      <c r="R86" s="20"/>
      <c r="S86" s="23" t="str">
        <f aca="true">IF($B86="","",IF(AND($N86="Y",$P86="Y",$R86="Y"),"Done",IF(OR(AND($M86&lt;=TODAY(),$N86&lt;&gt;"Y"),AND($O86&lt;=TODAY(),$P86&lt;&gt;"Y"),AND($Q86&lt;=TODAY(),$R86&lt;&gt;"Y")),"DUE","Scheduled")))</f>
        <v/>
      </c>
      <c r="T86" s="20"/>
      <c r="U86" s="23" t="str">
        <f aca="false">IF($B86="","",IF(OR($T86&lt;=2,$I86="Editorial"),"REDO",""))</f>
        <v/>
      </c>
      <c r="V86" s="18" t="str">
        <f aca="false">IF($S86&lt;&gt;"DUE","",COUNTIF($S$3:$S86,"DUE"))</f>
        <v/>
      </c>
    </row>
    <row r="87" customFormat="false" ht="15" hidden="false" customHeight="false" outlineLevel="0" collapsed="false">
      <c r="A87" s="12" t="str">
        <f aca="false">IF($F87="","",ROW()-2)</f>
        <v/>
      </c>
      <c r="B87" s="19"/>
      <c r="C87" s="20"/>
      <c r="D87" s="21"/>
      <c r="E87" s="21"/>
      <c r="F87" s="21"/>
      <c r="G87" s="20"/>
      <c r="H87" s="21"/>
      <c r="I87" s="20"/>
      <c r="J87" s="20"/>
      <c r="K87" s="21"/>
      <c r="L87" s="21"/>
      <c r="M87" s="22" t="str">
        <f aca="false">IF($B87="","",$B87+2)</f>
        <v/>
      </c>
      <c r="N87" s="20"/>
      <c r="O87" s="22" t="str">
        <f aca="false">IF($B87="","",$B87+5)</f>
        <v/>
      </c>
      <c r="P87" s="20"/>
      <c r="Q87" s="22" t="str">
        <f aca="false">IF($B87="","",$B87+10)</f>
        <v/>
      </c>
      <c r="R87" s="20"/>
      <c r="S87" s="23" t="str">
        <f aca="true">IF($B87="","",IF(AND($N87="Y",$P87="Y",$R87="Y"),"Done",IF(OR(AND($M87&lt;=TODAY(),$N87&lt;&gt;"Y"),AND($O87&lt;=TODAY(),$P87&lt;&gt;"Y"),AND($Q87&lt;=TODAY(),$R87&lt;&gt;"Y")),"DUE","Scheduled")))</f>
        <v/>
      </c>
      <c r="T87" s="20"/>
      <c r="U87" s="23" t="str">
        <f aca="false">IF($B87="","",IF(OR($T87&lt;=2,$I87="Editorial"),"REDO",""))</f>
        <v/>
      </c>
      <c r="V87" s="18" t="str">
        <f aca="false">IF($S87&lt;&gt;"DUE","",COUNTIF($S$3:$S87,"DUE"))</f>
        <v/>
      </c>
    </row>
    <row r="88" customFormat="false" ht="15" hidden="false" customHeight="false" outlineLevel="0" collapsed="false">
      <c r="A88" s="12" t="str">
        <f aca="false">IF($F88="","",ROW()-2)</f>
        <v/>
      </c>
      <c r="B88" s="19"/>
      <c r="C88" s="20"/>
      <c r="D88" s="21"/>
      <c r="E88" s="21"/>
      <c r="F88" s="21"/>
      <c r="G88" s="20"/>
      <c r="H88" s="21"/>
      <c r="I88" s="20"/>
      <c r="J88" s="20"/>
      <c r="K88" s="21"/>
      <c r="L88" s="21"/>
      <c r="M88" s="22" t="str">
        <f aca="false">IF($B88="","",$B88+2)</f>
        <v/>
      </c>
      <c r="N88" s="20"/>
      <c r="O88" s="22" t="str">
        <f aca="false">IF($B88="","",$B88+5)</f>
        <v/>
      </c>
      <c r="P88" s="20"/>
      <c r="Q88" s="22" t="str">
        <f aca="false">IF($B88="","",$B88+10)</f>
        <v/>
      </c>
      <c r="R88" s="20"/>
      <c r="S88" s="23" t="str">
        <f aca="true">IF($B88="","",IF(AND($N88="Y",$P88="Y",$R88="Y"),"Done",IF(OR(AND($M88&lt;=TODAY(),$N88&lt;&gt;"Y"),AND($O88&lt;=TODAY(),$P88&lt;&gt;"Y"),AND($Q88&lt;=TODAY(),$R88&lt;&gt;"Y")),"DUE","Scheduled")))</f>
        <v/>
      </c>
      <c r="T88" s="20"/>
      <c r="U88" s="23" t="str">
        <f aca="false">IF($B88="","",IF(OR($T88&lt;=2,$I88="Editorial"),"REDO",""))</f>
        <v/>
      </c>
      <c r="V88" s="18" t="str">
        <f aca="false">IF($S88&lt;&gt;"DUE","",COUNTIF($S$3:$S88,"DUE"))</f>
        <v/>
      </c>
    </row>
    <row r="89" customFormat="false" ht="15" hidden="false" customHeight="false" outlineLevel="0" collapsed="false">
      <c r="A89" s="12" t="str">
        <f aca="false">IF($F89="","",ROW()-2)</f>
        <v/>
      </c>
      <c r="B89" s="19"/>
      <c r="C89" s="20"/>
      <c r="D89" s="21"/>
      <c r="E89" s="21"/>
      <c r="F89" s="21"/>
      <c r="G89" s="20"/>
      <c r="H89" s="21"/>
      <c r="I89" s="20"/>
      <c r="J89" s="20"/>
      <c r="K89" s="21"/>
      <c r="L89" s="21"/>
      <c r="M89" s="22" t="str">
        <f aca="false">IF($B89="","",$B89+2)</f>
        <v/>
      </c>
      <c r="N89" s="20"/>
      <c r="O89" s="22" t="str">
        <f aca="false">IF($B89="","",$B89+5)</f>
        <v/>
      </c>
      <c r="P89" s="20"/>
      <c r="Q89" s="22" t="str">
        <f aca="false">IF($B89="","",$B89+10)</f>
        <v/>
      </c>
      <c r="R89" s="20"/>
      <c r="S89" s="23" t="str">
        <f aca="true">IF($B89="","",IF(AND($N89="Y",$P89="Y",$R89="Y"),"Done",IF(OR(AND($M89&lt;=TODAY(),$N89&lt;&gt;"Y"),AND($O89&lt;=TODAY(),$P89&lt;&gt;"Y"),AND($Q89&lt;=TODAY(),$R89&lt;&gt;"Y")),"DUE","Scheduled")))</f>
        <v/>
      </c>
      <c r="T89" s="20"/>
      <c r="U89" s="23" t="str">
        <f aca="false">IF($B89="","",IF(OR($T89&lt;=2,$I89="Editorial"),"REDO",""))</f>
        <v/>
      </c>
      <c r="V89" s="18" t="str">
        <f aca="false">IF($S89&lt;&gt;"DUE","",COUNTIF($S$3:$S89,"DUE"))</f>
        <v/>
      </c>
    </row>
    <row r="90" customFormat="false" ht="15" hidden="false" customHeight="false" outlineLevel="0" collapsed="false">
      <c r="A90" s="12" t="str">
        <f aca="false">IF($F90="","",ROW()-2)</f>
        <v/>
      </c>
      <c r="B90" s="19"/>
      <c r="C90" s="20"/>
      <c r="D90" s="21"/>
      <c r="E90" s="21"/>
      <c r="F90" s="21"/>
      <c r="G90" s="20"/>
      <c r="H90" s="21"/>
      <c r="I90" s="20"/>
      <c r="J90" s="20"/>
      <c r="K90" s="21"/>
      <c r="L90" s="21"/>
      <c r="M90" s="22" t="str">
        <f aca="false">IF($B90="","",$B90+2)</f>
        <v/>
      </c>
      <c r="N90" s="20"/>
      <c r="O90" s="22" t="str">
        <f aca="false">IF($B90="","",$B90+5)</f>
        <v/>
      </c>
      <c r="P90" s="20"/>
      <c r="Q90" s="22" t="str">
        <f aca="false">IF($B90="","",$B90+10)</f>
        <v/>
      </c>
      <c r="R90" s="20"/>
      <c r="S90" s="23" t="str">
        <f aca="true">IF($B90="","",IF(AND($N90="Y",$P90="Y",$R90="Y"),"Done",IF(OR(AND($M90&lt;=TODAY(),$N90&lt;&gt;"Y"),AND($O90&lt;=TODAY(),$P90&lt;&gt;"Y"),AND($Q90&lt;=TODAY(),$R90&lt;&gt;"Y")),"DUE","Scheduled")))</f>
        <v/>
      </c>
      <c r="T90" s="20"/>
      <c r="U90" s="23" t="str">
        <f aca="false">IF($B90="","",IF(OR($T90&lt;=2,$I90="Editorial"),"REDO",""))</f>
        <v/>
      </c>
      <c r="V90" s="18" t="str">
        <f aca="false">IF($S90&lt;&gt;"DUE","",COUNTIF($S$3:$S90,"DUE"))</f>
        <v/>
      </c>
    </row>
    <row r="91" customFormat="false" ht="15" hidden="false" customHeight="false" outlineLevel="0" collapsed="false">
      <c r="A91" s="12" t="str">
        <f aca="false">IF($F91="","",ROW()-2)</f>
        <v/>
      </c>
      <c r="B91" s="19"/>
      <c r="C91" s="20"/>
      <c r="D91" s="21"/>
      <c r="E91" s="21"/>
      <c r="F91" s="21"/>
      <c r="G91" s="20"/>
      <c r="H91" s="21"/>
      <c r="I91" s="20"/>
      <c r="J91" s="20"/>
      <c r="K91" s="21"/>
      <c r="L91" s="21"/>
      <c r="M91" s="22" t="str">
        <f aca="false">IF($B91="","",$B91+2)</f>
        <v/>
      </c>
      <c r="N91" s="20"/>
      <c r="O91" s="22" t="str">
        <f aca="false">IF($B91="","",$B91+5)</f>
        <v/>
      </c>
      <c r="P91" s="20"/>
      <c r="Q91" s="22" t="str">
        <f aca="false">IF($B91="","",$B91+10)</f>
        <v/>
      </c>
      <c r="R91" s="20"/>
      <c r="S91" s="23" t="str">
        <f aca="true">IF($B91="","",IF(AND($N91="Y",$P91="Y",$R91="Y"),"Done",IF(OR(AND($M91&lt;=TODAY(),$N91&lt;&gt;"Y"),AND($O91&lt;=TODAY(),$P91&lt;&gt;"Y"),AND($Q91&lt;=TODAY(),$R91&lt;&gt;"Y")),"DUE","Scheduled")))</f>
        <v/>
      </c>
      <c r="T91" s="20"/>
      <c r="U91" s="23" t="str">
        <f aca="false">IF($B91="","",IF(OR($T91&lt;=2,$I91="Editorial"),"REDO",""))</f>
        <v/>
      </c>
      <c r="V91" s="18" t="str">
        <f aca="false">IF($S91&lt;&gt;"DUE","",COUNTIF($S$3:$S91,"DUE"))</f>
        <v/>
      </c>
    </row>
    <row r="92" customFormat="false" ht="15" hidden="false" customHeight="false" outlineLevel="0" collapsed="false">
      <c r="A92" s="12" t="str">
        <f aca="false">IF($F92="","",ROW()-2)</f>
        <v/>
      </c>
      <c r="B92" s="19"/>
      <c r="C92" s="20"/>
      <c r="D92" s="21"/>
      <c r="E92" s="21"/>
      <c r="F92" s="21"/>
      <c r="G92" s="20"/>
      <c r="H92" s="21"/>
      <c r="I92" s="20"/>
      <c r="J92" s="20"/>
      <c r="K92" s="21"/>
      <c r="L92" s="21"/>
      <c r="M92" s="22" t="str">
        <f aca="false">IF($B92="","",$B92+2)</f>
        <v/>
      </c>
      <c r="N92" s="20"/>
      <c r="O92" s="22" t="str">
        <f aca="false">IF($B92="","",$B92+5)</f>
        <v/>
      </c>
      <c r="P92" s="20"/>
      <c r="Q92" s="22" t="str">
        <f aca="false">IF($B92="","",$B92+10)</f>
        <v/>
      </c>
      <c r="R92" s="20"/>
      <c r="S92" s="23" t="str">
        <f aca="true">IF($B92="","",IF(AND($N92="Y",$P92="Y",$R92="Y"),"Done",IF(OR(AND($M92&lt;=TODAY(),$N92&lt;&gt;"Y"),AND($O92&lt;=TODAY(),$P92&lt;&gt;"Y"),AND($Q92&lt;=TODAY(),$R92&lt;&gt;"Y")),"DUE","Scheduled")))</f>
        <v/>
      </c>
      <c r="T92" s="20"/>
      <c r="U92" s="23" t="str">
        <f aca="false">IF($B92="","",IF(OR($T92&lt;=2,$I92="Editorial"),"REDO",""))</f>
        <v/>
      </c>
      <c r="V92" s="18" t="str">
        <f aca="false">IF($S92&lt;&gt;"DUE","",COUNTIF($S$3:$S92,"DUE"))</f>
        <v/>
      </c>
    </row>
    <row r="93" customFormat="false" ht="15" hidden="false" customHeight="false" outlineLevel="0" collapsed="false">
      <c r="A93" s="12" t="str">
        <f aca="false">IF($F93="","",ROW()-2)</f>
        <v/>
      </c>
      <c r="B93" s="19"/>
      <c r="C93" s="20"/>
      <c r="D93" s="21"/>
      <c r="E93" s="21"/>
      <c r="F93" s="21"/>
      <c r="G93" s="20"/>
      <c r="H93" s="21"/>
      <c r="I93" s="20"/>
      <c r="J93" s="20"/>
      <c r="K93" s="21"/>
      <c r="L93" s="21"/>
      <c r="M93" s="22" t="str">
        <f aca="false">IF($B93="","",$B93+2)</f>
        <v/>
      </c>
      <c r="N93" s="20"/>
      <c r="O93" s="22" t="str">
        <f aca="false">IF($B93="","",$B93+5)</f>
        <v/>
      </c>
      <c r="P93" s="20"/>
      <c r="Q93" s="22" t="str">
        <f aca="false">IF($B93="","",$B93+10)</f>
        <v/>
      </c>
      <c r="R93" s="20"/>
      <c r="S93" s="23" t="str">
        <f aca="true">IF($B93="","",IF(AND($N93="Y",$P93="Y",$R93="Y"),"Done",IF(OR(AND($M93&lt;=TODAY(),$N93&lt;&gt;"Y"),AND($O93&lt;=TODAY(),$P93&lt;&gt;"Y"),AND($Q93&lt;=TODAY(),$R93&lt;&gt;"Y")),"DUE","Scheduled")))</f>
        <v/>
      </c>
      <c r="T93" s="20"/>
      <c r="U93" s="23" t="str">
        <f aca="false">IF($B93="","",IF(OR($T93&lt;=2,$I93="Editorial"),"REDO",""))</f>
        <v/>
      </c>
      <c r="V93" s="18" t="str">
        <f aca="false">IF($S93&lt;&gt;"DUE","",COUNTIF($S$3:$S93,"DUE"))</f>
        <v/>
      </c>
    </row>
    <row r="94" customFormat="false" ht="15" hidden="false" customHeight="false" outlineLevel="0" collapsed="false">
      <c r="A94" s="12" t="str">
        <f aca="false">IF($F94="","",ROW()-2)</f>
        <v/>
      </c>
      <c r="B94" s="19"/>
      <c r="C94" s="20"/>
      <c r="D94" s="21"/>
      <c r="E94" s="21"/>
      <c r="F94" s="21"/>
      <c r="G94" s="20"/>
      <c r="H94" s="21"/>
      <c r="I94" s="20"/>
      <c r="J94" s="20"/>
      <c r="K94" s="21"/>
      <c r="L94" s="21"/>
      <c r="M94" s="22" t="str">
        <f aca="false">IF($B94="","",$B94+2)</f>
        <v/>
      </c>
      <c r="N94" s="20"/>
      <c r="O94" s="22" t="str">
        <f aca="false">IF($B94="","",$B94+5)</f>
        <v/>
      </c>
      <c r="P94" s="20"/>
      <c r="Q94" s="22" t="str">
        <f aca="false">IF($B94="","",$B94+10)</f>
        <v/>
      </c>
      <c r="R94" s="20"/>
      <c r="S94" s="23" t="str">
        <f aca="true">IF($B94="","",IF(AND($N94="Y",$P94="Y",$R94="Y"),"Done",IF(OR(AND($M94&lt;=TODAY(),$N94&lt;&gt;"Y"),AND($O94&lt;=TODAY(),$P94&lt;&gt;"Y"),AND($Q94&lt;=TODAY(),$R94&lt;&gt;"Y")),"DUE","Scheduled")))</f>
        <v/>
      </c>
      <c r="T94" s="20"/>
      <c r="U94" s="23" t="str">
        <f aca="false">IF($B94="","",IF(OR($T94&lt;=2,$I94="Editorial"),"REDO",""))</f>
        <v/>
      </c>
      <c r="V94" s="18" t="str">
        <f aca="false">IF($S94&lt;&gt;"DUE","",COUNTIF($S$3:$S94,"DUE"))</f>
        <v/>
      </c>
    </row>
    <row r="95" customFormat="false" ht="15" hidden="false" customHeight="false" outlineLevel="0" collapsed="false">
      <c r="A95" s="12" t="str">
        <f aca="false">IF($F95="","",ROW()-2)</f>
        <v/>
      </c>
      <c r="B95" s="19"/>
      <c r="C95" s="20"/>
      <c r="D95" s="21"/>
      <c r="E95" s="21"/>
      <c r="F95" s="21"/>
      <c r="G95" s="20"/>
      <c r="H95" s="21"/>
      <c r="I95" s="20"/>
      <c r="J95" s="20"/>
      <c r="K95" s="21"/>
      <c r="L95" s="21"/>
      <c r="M95" s="22" t="str">
        <f aca="false">IF($B95="","",$B95+2)</f>
        <v/>
      </c>
      <c r="N95" s="20"/>
      <c r="O95" s="22" t="str">
        <f aca="false">IF($B95="","",$B95+5)</f>
        <v/>
      </c>
      <c r="P95" s="20"/>
      <c r="Q95" s="22" t="str">
        <f aca="false">IF($B95="","",$B95+10)</f>
        <v/>
      </c>
      <c r="R95" s="20"/>
      <c r="S95" s="23" t="str">
        <f aca="true">IF($B95="","",IF(AND($N95="Y",$P95="Y",$R95="Y"),"Done",IF(OR(AND($M95&lt;=TODAY(),$N95&lt;&gt;"Y"),AND($O95&lt;=TODAY(),$P95&lt;&gt;"Y"),AND($Q95&lt;=TODAY(),$R95&lt;&gt;"Y")),"DUE","Scheduled")))</f>
        <v/>
      </c>
      <c r="T95" s="20"/>
      <c r="U95" s="23" t="str">
        <f aca="false">IF($B95="","",IF(OR($T95&lt;=2,$I95="Editorial"),"REDO",""))</f>
        <v/>
      </c>
      <c r="V95" s="18" t="str">
        <f aca="false">IF($S95&lt;&gt;"DUE","",COUNTIF($S$3:$S95,"DUE"))</f>
        <v/>
      </c>
    </row>
    <row r="96" customFormat="false" ht="15" hidden="false" customHeight="false" outlineLevel="0" collapsed="false">
      <c r="A96" s="12" t="str">
        <f aca="false">IF($F96="","",ROW()-2)</f>
        <v/>
      </c>
      <c r="B96" s="19"/>
      <c r="C96" s="20"/>
      <c r="D96" s="21"/>
      <c r="E96" s="21"/>
      <c r="F96" s="21"/>
      <c r="G96" s="20"/>
      <c r="H96" s="21"/>
      <c r="I96" s="20"/>
      <c r="J96" s="20"/>
      <c r="K96" s="21"/>
      <c r="L96" s="21"/>
      <c r="M96" s="22" t="str">
        <f aca="false">IF($B96="","",$B96+2)</f>
        <v/>
      </c>
      <c r="N96" s="20"/>
      <c r="O96" s="22" t="str">
        <f aca="false">IF($B96="","",$B96+5)</f>
        <v/>
      </c>
      <c r="P96" s="20"/>
      <c r="Q96" s="22" t="str">
        <f aca="false">IF($B96="","",$B96+10)</f>
        <v/>
      </c>
      <c r="R96" s="20"/>
      <c r="S96" s="23" t="str">
        <f aca="true">IF($B96="","",IF(AND($N96="Y",$P96="Y",$R96="Y"),"Done",IF(OR(AND($M96&lt;=TODAY(),$N96&lt;&gt;"Y"),AND($O96&lt;=TODAY(),$P96&lt;&gt;"Y"),AND($Q96&lt;=TODAY(),$R96&lt;&gt;"Y")),"DUE","Scheduled")))</f>
        <v/>
      </c>
      <c r="T96" s="20"/>
      <c r="U96" s="23" t="str">
        <f aca="false">IF($B96="","",IF(OR($T96&lt;=2,$I96="Editorial"),"REDO",""))</f>
        <v/>
      </c>
      <c r="V96" s="18" t="str">
        <f aca="false">IF($S96&lt;&gt;"DUE","",COUNTIF($S$3:$S96,"DUE"))</f>
        <v/>
      </c>
    </row>
    <row r="97" customFormat="false" ht="15" hidden="false" customHeight="false" outlineLevel="0" collapsed="false">
      <c r="A97" s="12" t="str">
        <f aca="false">IF($F97="","",ROW()-2)</f>
        <v/>
      </c>
      <c r="B97" s="19"/>
      <c r="C97" s="20"/>
      <c r="D97" s="21"/>
      <c r="E97" s="21"/>
      <c r="F97" s="21"/>
      <c r="G97" s="20"/>
      <c r="H97" s="21"/>
      <c r="I97" s="20"/>
      <c r="J97" s="20"/>
      <c r="K97" s="21"/>
      <c r="L97" s="21"/>
      <c r="M97" s="22" t="str">
        <f aca="false">IF($B97="","",$B97+2)</f>
        <v/>
      </c>
      <c r="N97" s="20"/>
      <c r="O97" s="22" t="str">
        <f aca="false">IF($B97="","",$B97+5)</f>
        <v/>
      </c>
      <c r="P97" s="20"/>
      <c r="Q97" s="22" t="str">
        <f aca="false">IF($B97="","",$B97+10)</f>
        <v/>
      </c>
      <c r="R97" s="20"/>
      <c r="S97" s="23" t="str">
        <f aca="true">IF($B97="","",IF(AND($N97="Y",$P97="Y",$R97="Y"),"Done",IF(OR(AND($M97&lt;=TODAY(),$N97&lt;&gt;"Y"),AND($O97&lt;=TODAY(),$P97&lt;&gt;"Y"),AND($Q97&lt;=TODAY(),$R97&lt;&gt;"Y")),"DUE","Scheduled")))</f>
        <v/>
      </c>
      <c r="T97" s="20"/>
      <c r="U97" s="23" t="str">
        <f aca="false">IF($B97="","",IF(OR($T97&lt;=2,$I97="Editorial"),"REDO",""))</f>
        <v/>
      </c>
      <c r="V97" s="18" t="str">
        <f aca="false">IF($S97&lt;&gt;"DUE","",COUNTIF($S$3:$S97,"DUE"))</f>
        <v/>
      </c>
    </row>
    <row r="98" customFormat="false" ht="15" hidden="false" customHeight="false" outlineLevel="0" collapsed="false">
      <c r="A98" s="12" t="str">
        <f aca="false">IF($F98="","",ROW()-2)</f>
        <v/>
      </c>
      <c r="B98" s="19"/>
      <c r="C98" s="20"/>
      <c r="D98" s="21"/>
      <c r="E98" s="21"/>
      <c r="F98" s="21"/>
      <c r="G98" s="20"/>
      <c r="H98" s="21"/>
      <c r="I98" s="20"/>
      <c r="J98" s="20"/>
      <c r="K98" s="21"/>
      <c r="L98" s="21"/>
      <c r="M98" s="22" t="str">
        <f aca="false">IF($B98="","",$B98+2)</f>
        <v/>
      </c>
      <c r="N98" s="20"/>
      <c r="O98" s="22" t="str">
        <f aca="false">IF($B98="","",$B98+5)</f>
        <v/>
      </c>
      <c r="P98" s="20"/>
      <c r="Q98" s="22" t="str">
        <f aca="false">IF($B98="","",$B98+10)</f>
        <v/>
      </c>
      <c r="R98" s="20"/>
      <c r="S98" s="23" t="str">
        <f aca="true">IF($B98="","",IF(AND($N98="Y",$P98="Y",$R98="Y"),"Done",IF(OR(AND($M98&lt;=TODAY(),$N98&lt;&gt;"Y"),AND($O98&lt;=TODAY(),$P98&lt;&gt;"Y"),AND($Q98&lt;=TODAY(),$R98&lt;&gt;"Y")),"DUE","Scheduled")))</f>
        <v/>
      </c>
      <c r="T98" s="20"/>
      <c r="U98" s="23" t="str">
        <f aca="false">IF($B98="","",IF(OR($T98&lt;=2,$I98="Editorial"),"REDO",""))</f>
        <v/>
      </c>
      <c r="V98" s="18" t="str">
        <f aca="false">IF($S98&lt;&gt;"DUE","",COUNTIF($S$3:$S98,"DUE"))</f>
        <v/>
      </c>
    </row>
    <row r="99" customFormat="false" ht="15" hidden="false" customHeight="false" outlineLevel="0" collapsed="false">
      <c r="A99" s="12" t="str">
        <f aca="false">IF($F99="","",ROW()-2)</f>
        <v/>
      </c>
      <c r="B99" s="19"/>
      <c r="C99" s="20"/>
      <c r="D99" s="21"/>
      <c r="E99" s="21"/>
      <c r="F99" s="21"/>
      <c r="G99" s="20"/>
      <c r="H99" s="21"/>
      <c r="I99" s="20"/>
      <c r="J99" s="20"/>
      <c r="K99" s="21"/>
      <c r="L99" s="21"/>
      <c r="M99" s="22" t="str">
        <f aca="false">IF($B99="","",$B99+2)</f>
        <v/>
      </c>
      <c r="N99" s="20"/>
      <c r="O99" s="22" t="str">
        <f aca="false">IF($B99="","",$B99+5)</f>
        <v/>
      </c>
      <c r="P99" s="20"/>
      <c r="Q99" s="22" t="str">
        <f aca="false">IF($B99="","",$B99+10)</f>
        <v/>
      </c>
      <c r="R99" s="20"/>
      <c r="S99" s="23" t="str">
        <f aca="true">IF($B99="","",IF(AND($N99="Y",$P99="Y",$R99="Y"),"Done",IF(OR(AND($M99&lt;=TODAY(),$N99&lt;&gt;"Y"),AND($O99&lt;=TODAY(),$P99&lt;&gt;"Y"),AND($Q99&lt;=TODAY(),$R99&lt;&gt;"Y")),"DUE","Scheduled")))</f>
        <v/>
      </c>
      <c r="T99" s="20"/>
      <c r="U99" s="23" t="str">
        <f aca="false">IF($B99="","",IF(OR($T99&lt;=2,$I99="Editorial"),"REDO",""))</f>
        <v/>
      </c>
      <c r="V99" s="18" t="str">
        <f aca="false">IF($S99&lt;&gt;"DUE","",COUNTIF($S$3:$S99,"DUE"))</f>
        <v/>
      </c>
    </row>
    <row r="100" customFormat="false" ht="15" hidden="false" customHeight="false" outlineLevel="0" collapsed="false">
      <c r="A100" s="12" t="str">
        <f aca="false">IF($F100="","",ROW()-2)</f>
        <v/>
      </c>
      <c r="B100" s="19"/>
      <c r="C100" s="20"/>
      <c r="D100" s="21"/>
      <c r="E100" s="21"/>
      <c r="F100" s="21"/>
      <c r="G100" s="20"/>
      <c r="H100" s="21"/>
      <c r="I100" s="20"/>
      <c r="J100" s="20"/>
      <c r="K100" s="21"/>
      <c r="L100" s="21"/>
      <c r="M100" s="22" t="str">
        <f aca="false">IF($B100="","",$B100+2)</f>
        <v/>
      </c>
      <c r="N100" s="20"/>
      <c r="O100" s="22" t="str">
        <f aca="false">IF($B100="","",$B100+5)</f>
        <v/>
      </c>
      <c r="P100" s="20"/>
      <c r="Q100" s="22" t="str">
        <f aca="false">IF($B100="","",$B100+10)</f>
        <v/>
      </c>
      <c r="R100" s="20"/>
      <c r="S100" s="23" t="str">
        <f aca="true">IF($B100="","",IF(AND($N100="Y",$P100="Y",$R100="Y"),"Done",IF(OR(AND($M100&lt;=TODAY(),$N100&lt;&gt;"Y"),AND($O100&lt;=TODAY(),$P100&lt;&gt;"Y"),AND($Q100&lt;=TODAY(),$R100&lt;&gt;"Y")),"DUE","Scheduled")))</f>
        <v/>
      </c>
      <c r="T100" s="20"/>
      <c r="U100" s="23" t="str">
        <f aca="false">IF($B100="","",IF(OR($T100&lt;=2,$I100="Editorial"),"REDO",""))</f>
        <v/>
      </c>
      <c r="V100" s="18" t="str">
        <f aca="false">IF($S100&lt;&gt;"DUE","",COUNTIF($S$3:$S100,"DUE"))</f>
        <v/>
      </c>
    </row>
    <row r="101" customFormat="false" ht="15" hidden="false" customHeight="false" outlineLevel="0" collapsed="false">
      <c r="A101" s="12" t="str">
        <f aca="false">IF($F101="","",ROW()-2)</f>
        <v/>
      </c>
      <c r="B101" s="19"/>
      <c r="C101" s="20"/>
      <c r="D101" s="21"/>
      <c r="E101" s="21"/>
      <c r="F101" s="21"/>
      <c r="G101" s="20"/>
      <c r="H101" s="21"/>
      <c r="I101" s="20"/>
      <c r="J101" s="20"/>
      <c r="K101" s="21"/>
      <c r="L101" s="21"/>
      <c r="M101" s="22" t="str">
        <f aca="false">IF($B101="","",$B101+2)</f>
        <v/>
      </c>
      <c r="N101" s="20"/>
      <c r="O101" s="22" t="str">
        <f aca="false">IF($B101="","",$B101+5)</f>
        <v/>
      </c>
      <c r="P101" s="20"/>
      <c r="Q101" s="22" t="str">
        <f aca="false">IF($B101="","",$B101+10)</f>
        <v/>
      </c>
      <c r="R101" s="20"/>
      <c r="S101" s="23" t="str">
        <f aca="true">IF($B101="","",IF(AND($N101="Y",$P101="Y",$R101="Y"),"Done",IF(OR(AND($M101&lt;=TODAY(),$N101&lt;&gt;"Y"),AND($O101&lt;=TODAY(),$P101&lt;&gt;"Y"),AND($Q101&lt;=TODAY(),$R101&lt;&gt;"Y")),"DUE","Scheduled")))</f>
        <v/>
      </c>
      <c r="T101" s="20"/>
      <c r="U101" s="23" t="str">
        <f aca="false">IF($B101="","",IF(OR($T101&lt;=2,$I101="Editorial"),"REDO",""))</f>
        <v/>
      </c>
      <c r="V101" s="18" t="str">
        <f aca="false">IF($S101&lt;&gt;"DUE","",COUNTIF($S$3:$S101,"DUE"))</f>
        <v/>
      </c>
    </row>
    <row r="102" customFormat="false" ht="15" hidden="false" customHeight="false" outlineLevel="0" collapsed="false">
      <c r="A102" s="12" t="str">
        <f aca="false">IF($F102="","",ROW()-2)</f>
        <v/>
      </c>
      <c r="B102" s="19"/>
      <c r="C102" s="20"/>
      <c r="D102" s="21"/>
      <c r="E102" s="21"/>
      <c r="F102" s="21"/>
      <c r="G102" s="20"/>
      <c r="H102" s="21"/>
      <c r="I102" s="20"/>
      <c r="J102" s="20"/>
      <c r="K102" s="21"/>
      <c r="L102" s="21"/>
      <c r="M102" s="22" t="str">
        <f aca="false">IF($B102="","",$B102+2)</f>
        <v/>
      </c>
      <c r="N102" s="20"/>
      <c r="O102" s="22" t="str">
        <f aca="false">IF($B102="","",$B102+5)</f>
        <v/>
      </c>
      <c r="P102" s="20"/>
      <c r="Q102" s="22" t="str">
        <f aca="false">IF($B102="","",$B102+10)</f>
        <v/>
      </c>
      <c r="R102" s="20"/>
      <c r="S102" s="23" t="str">
        <f aca="true">IF($B102="","",IF(AND($N102="Y",$P102="Y",$R102="Y"),"Done",IF(OR(AND($M102&lt;=TODAY(),$N102&lt;&gt;"Y"),AND($O102&lt;=TODAY(),$P102&lt;&gt;"Y"),AND($Q102&lt;=TODAY(),$R102&lt;&gt;"Y")),"DUE","Scheduled")))</f>
        <v/>
      </c>
      <c r="T102" s="20"/>
      <c r="U102" s="23" t="str">
        <f aca="false">IF($B102="","",IF(OR($T102&lt;=2,$I102="Editorial"),"REDO",""))</f>
        <v/>
      </c>
      <c r="V102" s="18" t="str">
        <f aca="false">IF($S102&lt;&gt;"DUE","",COUNTIF($S$3:$S102,"DUE"))</f>
        <v/>
      </c>
    </row>
    <row r="103" customFormat="false" ht="15" hidden="false" customHeight="false" outlineLevel="0" collapsed="false">
      <c r="A103" s="12" t="str">
        <f aca="false">IF($F103="","",ROW()-2)</f>
        <v/>
      </c>
      <c r="B103" s="19"/>
      <c r="C103" s="20"/>
      <c r="D103" s="21"/>
      <c r="E103" s="21"/>
      <c r="F103" s="21"/>
      <c r="G103" s="20"/>
      <c r="H103" s="21"/>
      <c r="I103" s="20"/>
      <c r="J103" s="20"/>
      <c r="K103" s="21"/>
      <c r="L103" s="21"/>
      <c r="M103" s="22" t="str">
        <f aca="false">IF($B103="","",$B103+2)</f>
        <v/>
      </c>
      <c r="N103" s="20"/>
      <c r="O103" s="22" t="str">
        <f aca="false">IF($B103="","",$B103+5)</f>
        <v/>
      </c>
      <c r="P103" s="20"/>
      <c r="Q103" s="22" t="str">
        <f aca="false">IF($B103="","",$B103+10)</f>
        <v/>
      </c>
      <c r="R103" s="20"/>
      <c r="S103" s="23" t="str">
        <f aca="true">IF($B103="","",IF(AND($N103="Y",$P103="Y",$R103="Y"),"Done",IF(OR(AND($M103&lt;=TODAY(),$N103&lt;&gt;"Y"),AND($O103&lt;=TODAY(),$P103&lt;&gt;"Y"),AND($Q103&lt;=TODAY(),$R103&lt;&gt;"Y")),"DUE","Scheduled")))</f>
        <v/>
      </c>
      <c r="T103" s="20"/>
      <c r="U103" s="23" t="str">
        <f aca="false">IF($B103="","",IF(OR($T103&lt;=2,$I103="Editorial"),"REDO",""))</f>
        <v/>
      </c>
      <c r="V103" s="18" t="str">
        <f aca="false">IF($S103&lt;&gt;"DUE","",COUNTIF($S$3:$S103,"DUE"))</f>
        <v/>
      </c>
    </row>
    <row r="104" customFormat="false" ht="15" hidden="false" customHeight="false" outlineLevel="0" collapsed="false">
      <c r="A104" s="12" t="str">
        <f aca="false">IF($F104="","",ROW()-2)</f>
        <v/>
      </c>
      <c r="B104" s="19"/>
      <c r="C104" s="20"/>
      <c r="D104" s="21"/>
      <c r="E104" s="21"/>
      <c r="F104" s="21"/>
      <c r="G104" s="20"/>
      <c r="H104" s="21"/>
      <c r="I104" s="20"/>
      <c r="J104" s="20"/>
      <c r="K104" s="21"/>
      <c r="L104" s="21"/>
      <c r="M104" s="22" t="str">
        <f aca="false">IF($B104="","",$B104+2)</f>
        <v/>
      </c>
      <c r="N104" s="20"/>
      <c r="O104" s="22" t="str">
        <f aca="false">IF($B104="","",$B104+5)</f>
        <v/>
      </c>
      <c r="P104" s="20"/>
      <c r="Q104" s="22" t="str">
        <f aca="false">IF($B104="","",$B104+10)</f>
        <v/>
      </c>
      <c r="R104" s="20"/>
      <c r="S104" s="23" t="str">
        <f aca="true">IF($B104="","",IF(AND($N104="Y",$P104="Y",$R104="Y"),"Done",IF(OR(AND($M104&lt;=TODAY(),$N104&lt;&gt;"Y"),AND($O104&lt;=TODAY(),$P104&lt;&gt;"Y"),AND($Q104&lt;=TODAY(),$R104&lt;&gt;"Y")),"DUE","Scheduled")))</f>
        <v/>
      </c>
      <c r="T104" s="20"/>
      <c r="U104" s="23" t="str">
        <f aca="false">IF($B104="","",IF(OR($T104&lt;=2,$I104="Editorial"),"REDO",""))</f>
        <v/>
      </c>
      <c r="V104" s="18" t="str">
        <f aca="false">IF($S104&lt;&gt;"DUE","",COUNTIF($S$3:$S104,"DUE"))</f>
        <v/>
      </c>
    </row>
    <row r="105" customFormat="false" ht="15" hidden="false" customHeight="false" outlineLevel="0" collapsed="false">
      <c r="A105" s="12" t="str">
        <f aca="false">IF($F105="","",ROW()-2)</f>
        <v/>
      </c>
      <c r="B105" s="19"/>
      <c r="C105" s="20"/>
      <c r="D105" s="21"/>
      <c r="E105" s="21"/>
      <c r="F105" s="21"/>
      <c r="G105" s="20"/>
      <c r="H105" s="21"/>
      <c r="I105" s="20"/>
      <c r="J105" s="20"/>
      <c r="K105" s="21"/>
      <c r="L105" s="21"/>
      <c r="M105" s="22" t="str">
        <f aca="false">IF($B105="","",$B105+2)</f>
        <v/>
      </c>
      <c r="N105" s="20"/>
      <c r="O105" s="22" t="str">
        <f aca="false">IF($B105="","",$B105+5)</f>
        <v/>
      </c>
      <c r="P105" s="20"/>
      <c r="Q105" s="22" t="str">
        <f aca="false">IF($B105="","",$B105+10)</f>
        <v/>
      </c>
      <c r="R105" s="20"/>
      <c r="S105" s="23" t="str">
        <f aca="true">IF($B105="","",IF(AND($N105="Y",$P105="Y",$R105="Y"),"Done",IF(OR(AND($M105&lt;=TODAY(),$N105&lt;&gt;"Y"),AND($O105&lt;=TODAY(),$P105&lt;&gt;"Y"),AND($Q105&lt;=TODAY(),$R105&lt;&gt;"Y")),"DUE","Scheduled")))</f>
        <v/>
      </c>
      <c r="T105" s="20"/>
      <c r="U105" s="23" t="str">
        <f aca="false">IF($B105="","",IF(OR($T105&lt;=2,$I105="Editorial"),"REDO",""))</f>
        <v/>
      </c>
      <c r="V105" s="18" t="str">
        <f aca="false">IF($S105&lt;&gt;"DUE","",COUNTIF($S$3:$S105,"DUE"))</f>
        <v/>
      </c>
    </row>
    <row r="106" customFormat="false" ht="15" hidden="false" customHeight="false" outlineLevel="0" collapsed="false">
      <c r="A106" s="12" t="str">
        <f aca="false">IF($F106="","",ROW()-2)</f>
        <v/>
      </c>
      <c r="B106" s="19"/>
      <c r="C106" s="20"/>
      <c r="D106" s="21"/>
      <c r="E106" s="21"/>
      <c r="F106" s="21"/>
      <c r="G106" s="20"/>
      <c r="H106" s="21"/>
      <c r="I106" s="20"/>
      <c r="J106" s="20"/>
      <c r="K106" s="21"/>
      <c r="L106" s="21"/>
      <c r="M106" s="22" t="str">
        <f aca="false">IF($B106="","",$B106+2)</f>
        <v/>
      </c>
      <c r="N106" s="20"/>
      <c r="O106" s="22" t="str">
        <f aca="false">IF($B106="","",$B106+5)</f>
        <v/>
      </c>
      <c r="P106" s="20"/>
      <c r="Q106" s="22" t="str">
        <f aca="false">IF($B106="","",$B106+10)</f>
        <v/>
      </c>
      <c r="R106" s="20"/>
      <c r="S106" s="23" t="str">
        <f aca="true">IF($B106="","",IF(AND($N106="Y",$P106="Y",$R106="Y"),"Done",IF(OR(AND($M106&lt;=TODAY(),$N106&lt;&gt;"Y"),AND($O106&lt;=TODAY(),$P106&lt;&gt;"Y"),AND($Q106&lt;=TODAY(),$R106&lt;&gt;"Y")),"DUE","Scheduled")))</f>
        <v/>
      </c>
      <c r="T106" s="20"/>
      <c r="U106" s="23" t="str">
        <f aca="false">IF($B106="","",IF(OR($T106&lt;=2,$I106="Editorial"),"REDO",""))</f>
        <v/>
      </c>
      <c r="V106" s="18" t="str">
        <f aca="false">IF($S106&lt;&gt;"DUE","",COUNTIF($S$3:$S106,"DUE"))</f>
        <v/>
      </c>
    </row>
    <row r="107" customFormat="false" ht="15" hidden="false" customHeight="false" outlineLevel="0" collapsed="false">
      <c r="A107" s="12" t="str">
        <f aca="false">IF($F107="","",ROW()-2)</f>
        <v/>
      </c>
      <c r="B107" s="19"/>
      <c r="C107" s="20"/>
      <c r="D107" s="21"/>
      <c r="E107" s="21"/>
      <c r="F107" s="21"/>
      <c r="G107" s="20"/>
      <c r="H107" s="21"/>
      <c r="I107" s="20"/>
      <c r="J107" s="20"/>
      <c r="K107" s="21"/>
      <c r="L107" s="21"/>
      <c r="M107" s="22" t="str">
        <f aca="false">IF($B107="","",$B107+2)</f>
        <v/>
      </c>
      <c r="N107" s="20"/>
      <c r="O107" s="22" t="str">
        <f aca="false">IF($B107="","",$B107+5)</f>
        <v/>
      </c>
      <c r="P107" s="20"/>
      <c r="Q107" s="22" t="str">
        <f aca="false">IF($B107="","",$B107+10)</f>
        <v/>
      </c>
      <c r="R107" s="20"/>
      <c r="S107" s="23" t="str">
        <f aca="true">IF($B107="","",IF(AND($N107="Y",$P107="Y",$R107="Y"),"Done",IF(OR(AND($M107&lt;=TODAY(),$N107&lt;&gt;"Y"),AND($O107&lt;=TODAY(),$P107&lt;&gt;"Y"),AND($Q107&lt;=TODAY(),$R107&lt;&gt;"Y")),"DUE","Scheduled")))</f>
        <v/>
      </c>
      <c r="T107" s="20"/>
      <c r="U107" s="23" t="str">
        <f aca="false">IF($B107="","",IF(OR($T107&lt;=2,$I107="Editorial"),"REDO",""))</f>
        <v/>
      </c>
      <c r="V107" s="18" t="str">
        <f aca="false">IF($S107&lt;&gt;"DUE","",COUNTIF($S$3:$S107,"DUE"))</f>
        <v/>
      </c>
    </row>
    <row r="108" customFormat="false" ht="15" hidden="false" customHeight="false" outlineLevel="0" collapsed="false">
      <c r="A108" s="12" t="str">
        <f aca="false">IF($F108="","",ROW()-2)</f>
        <v/>
      </c>
      <c r="B108" s="19"/>
      <c r="C108" s="20"/>
      <c r="D108" s="21"/>
      <c r="E108" s="21"/>
      <c r="F108" s="21"/>
      <c r="G108" s="20"/>
      <c r="H108" s="21"/>
      <c r="I108" s="20"/>
      <c r="J108" s="20"/>
      <c r="K108" s="21"/>
      <c r="L108" s="21"/>
      <c r="M108" s="22" t="str">
        <f aca="false">IF($B108="","",$B108+2)</f>
        <v/>
      </c>
      <c r="N108" s="20"/>
      <c r="O108" s="22" t="str">
        <f aca="false">IF($B108="","",$B108+5)</f>
        <v/>
      </c>
      <c r="P108" s="20"/>
      <c r="Q108" s="22" t="str">
        <f aca="false">IF($B108="","",$B108+10)</f>
        <v/>
      </c>
      <c r="R108" s="20"/>
      <c r="S108" s="23" t="str">
        <f aca="true">IF($B108="","",IF(AND($N108="Y",$P108="Y",$R108="Y"),"Done",IF(OR(AND($M108&lt;=TODAY(),$N108&lt;&gt;"Y"),AND($O108&lt;=TODAY(),$P108&lt;&gt;"Y"),AND($Q108&lt;=TODAY(),$R108&lt;&gt;"Y")),"DUE","Scheduled")))</f>
        <v/>
      </c>
      <c r="T108" s="20"/>
      <c r="U108" s="23" t="str">
        <f aca="false">IF($B108="","",IF(OR($T108&lt;=2,$I108="Editorial"),"REDO",""))</f>
        <v/>
      </c>
      <c r="V108" s="18" t="str">
        <f aca="false">IF($S108&lt;&gt;"DUE","",COUNTIF($S$3:$S108,"DUE"))</f>
        <v/>
      </c>
    </row>
    <row r="109" customFormat="false" ht="15" hidden="false" customHeight="false" outlineLevel="0" collapsed="false">
      <c r="A109" s="12" t="str">
        <f aca="false">IF($F109="","",ROW()-2)</f>
        <v/>
      </c>
      <c r="B109" s="19"/>
      <c r="C109" s="20"/>
      <c r="D109" s="21"/>
      <c r="E109" s="21"/>
      <c r="F109" s="21"/>
      <c r="G109" s="20"/>
      <c r="H109" s="21"/>
      <c r="I109" s="20"/>
      <c r="J109" s="20"/>
      <c r="K109" s="21"/>
      <c r="L109" s="21"/>
      <c r="M109" s="22" t="str">
        <f aca="false">IF($B109="","",$B109+2)</f>
        <v/>
      </c>
      <c r="N109" s="20"/>
      <c r="O109" s="22" t="str">
        <f aca="false">IF($B109="","",$B109+5)</f>
        <v/>
      </c>
      <c r="P109" s="20"/>
      <c r="Q109" s="22" t="str">
        <f aca="false">IF($B109="","",$B109+10)</f>
        <v/>
      </c>
      <c r="R109" s="20"/>
      <c r="S109" s="23" t="str">
        <f aca="true">IF($B109="","",IF(AND($N109="Y",$P109="Y",$R109="Y"),"Done",IF(OR(AND($M109&lt;=TODAY(),$N109&lt;&gt;"Y"),AND($O109&lt;=TODAY(),$P109&lt;&gt;"Y"),AND($Q109&lt;=TODAY(),$R109&lt;&gt;"Y")),"DUE","Scheduled")))</f>
        <v/>
      </c>
      <c r="T109" s="20"/>
      <c r="U109" s="23" t="str">
        <f aca="false">IF($B109="","",IF(OR($T109&lt;=2,$I109="Editorial"),"REDO",""))</f>
        <v/>
      </c>
      <c r="V109" s="18" t="str">
        <f aca="false">IF($S109&lt;&gt;"DUE","",COUNTIF($S$3:$S109,"DUE"))</f>
        <v/>
      </c>
    </row>
    <row r="110" customFormat="false" ht="15" hidden="false" customHeight="false" outlineLevel="0" collapsed="false">
      <c r="A110" s="12" t="str">
        <f aca="false">IF($F110="","",ROW()-2)</f>
        <v/>
      </c>
      <c r="B110" s="19"/>
      <c r="C110" s="20"/>
      <c r="D110" s="21"/>
      <c r="E110" s="21"/>
      <c r="F110" s="21"/>
      <c r="G110" s="20"/>
      <c r="H110" s="21"/>
      <c r="I110" s="20"/>
      <c r="J110" s="20"/>
      <c r="K110" s="21"/>
      <c r="L110" s="21"/>
      <c r="M110" s="22" t="str">
        <f aca="false">IF($B110="","",$B110+2)</f>
        <v/>
      </c>
      <c r="N110" s="20"/>
      <c r="O110" s="22" t="str">
        <f aca="false">IF($B110="","",$B110+5)</f>
        <v/>
      </c>
      <c r="P110" s="20"/>
      <c r="Q110" s="22" t="str">
        <f aca="false">IF($B110="","",$B110+10)</f>
        <v/>
      </c>
      <c r="R110" s="20"/>
      <c r="S110" s="23" t="str">
        <f aca="true">IF($B110="","",IF(AND($N110="Y",$P110="Y",$R110="Y"),"Done",IF(OR(AND($M110&lt;=TODAY(),$N110&lt;&gt;"Y"),AND($O110&lt;=TODAY(),$P110&lt;&gt;"Y"),AND($Q110&lt;=TODAY(),$R110&lt;&gt;"Y")),"DUE","Scheduled")))</f>
        <v/>
      </c>
      <c r="T110" s="20"/>
      <c r="U110" s="23" t="str">
        <f aca="false">IF($B110="","",IF(OR($T110&lt;=2,$I110="Editorial"),"REDO",""))</f>
        <v/>
      </c>
      <c r="V110" s="18" t="str">
        <f aca="false">IF($S110&lt;&gt;"DUE","",COUNTIF($S$3:$S110,"DUE"))</f>
        <v/>
      </c>
    </row>
    <row r="111" customFormat="false" ht="15" hidden="false" customHeight="false" outlineLevel="0" collapsed="false">
      <c r="A111" s="12" t="str">
        <f aca="false">IF($F111="","",ROW()-2)</f>
        <v/>
      </c>
      <c r="B111" s="19"/>
      <c r="C111" s="20"/>
      <c r="D111" s="21"/>
      <c r="E111" s="21"/>
      <c r="F111" s="21"/>
      <c r="G111" s="20"/>
      <c r="H111" s="21"/>
      <c r="I111" s="20"/>
      <c r="J111" s="20"/>
      <c r="K111" s="21"/>
      <c r="L111" s="21"/>
      <c r="M111" s="22" t="str">
        <f aca="false">IF($B111="","",$B111+2)</f>
        <v/>
      </c>
      <c r="N111" s="20"/>
      <c r="O111" s="22" t="str">
        <f aca="false">IF($B111="","",$B111+5)</f>
        <v/>
      </c>
      <c r="P111" s="20"/>
      <c r="Q111" s="22" t="str">
        <f aca="false">IF($B111="","",$B111+10)</f>
        <v/>
      </c>
      <c r="R111" s="20"/>
      <c r="S111" s="23" t="str">
        <f aca="true">IF($B111="","",IF(AND($N111="Y",$P111="Y",$R111="Y"),"Done",IF(OR(AND($M111&lt;=TODAY(),$N111&lt;&gt;"Y"),AND($O111&lt;=TODAY(),$P111&lt;&gt;"Y"),AND($Q111&lt;=TODAY(),$R111&lt;&gt;"Y")),"DUE","Scheduled")))</f>
        <v/>
      </c>
      <c r="T111" s="20"/>
      <c r="U111" s="23" t="str">
        <f aca="false">IF($B111="","",IF(OR($T111&lt;=2,$I111="Editorial"),"REDO",""))</f>
        <v/>
      </c>
      <c r="V111" s="18" t="str">
        <f aca="false">IF($S111&lt;&gt;"DUE","",COUNTIF($S$3:$S111,"DUE"))</f>
        <v/>
      </c>
    </row>
    <row r="112" customFormat="false" ht="15" hidden="false" customHeight="false" outlineLevel="0" collapsed="false">
      <c r="A112" s="12" t="str">
        <f aca="false">IF($F112="","",ROW()-2)</f>
        <v/>
      </c>
      <c r="B112" s="19"/>
      <c r="C112" s="20"/>
      <c r="D112" s="21"/>
      <c r="E112" s="21"/>
      <c r="F112" s="21"/>
      <c r="G112" s="20"/>
      <c r="H112" s="21"/>
      <c r="I112" s="20"/>
      <c r="J112" s="20"/>
      <c r="K112" s="21"/>
      <c r="L112" s="21"/>
      <c r="M112" s="22" t="str">
        <f aca="false">IF($B112="","",$B112+2)</f>
        <v/>
      </c>
      <c r="N112" s="20"/>
      <c r="O112" s="22" t="str">
        <f aca="false">IF($B112="","",$B112+5)</f>
        <v/>
      </c>
      <c r="P112" s="20"/>
      <c r="Q112" s="22" t="str">
        <f aca="false">IF($B112="","",$B112+10)</f>
        <v/>
      </c>
      <c r="R112" s="20"/>
      <c r="S112" s="23" t="str">
        <f aca="true">IF($B112="","",IF(AND($N112="Y",$P112="Y",$R112="Y"),"Done",IF(OR(AND($M112&lt;=TODAY(),$N112&lt;&gt;"Y"),AND($O112&lt;=TODAY(),$P112&lt;&gt;"Y"),AND($Q112&lt;=TODAY(),$R112&lt;&gt;"Y")),"DUE","Scheduled")))</f>
        <v/>
      </c>
      <c r="T112" s="20"/>
      <c r="U112" s="23" t="str">
        <f aca="false">IF($B112="","",IF(OR($T112&lt;=2,$I112="Editorial"),"REDO",""))</f>
        <v/>
      </c>
      <c r="V112" s="18" t="str">
        <f aca="false">IF($S112&lt;&gt;"DUE","",COUNTIF($S$3:$S112,"DUE"))</f>
        <v/>
      </c>
    </row>
    <row r="113" customFormat="false" ht="15" hidden="false" customHeight="false" outlineLevel="0" collapsed="false">
      <c r="A113" s="12" t="str">
        <f aca="false">IF($F113="","",ROW()-2)</f>
        <v/>
      </c>
      <c r="B113" s="19"/>
      <c r="C113" s="20"/>
      <c r="D113" s="21"/>
      <c r="E113" s="21"/>
      <c r="F113" s="21"/>
      <c r="G113" s="20"/>
      <c r="H113" s="21"/>
      <c r="I113" s="20"/>
      <c r="J113" s="20"/>
      <c r="K113" s="21"/>
      <c r="L113" s="21"/>
      <c r="M113" s="22" t="str">
        <f aca="false">IF($B113="","",$B113+2)</f>
        <v/>
      </c>
      <c r="N113" s="20"/>
      <c r="O113" s="22" t="str">
        <f aca="false">IF($B113="","",$B113+5)</f>
        <v/>
      </c>
      <c r="P113" s="20"/>
      <c r="Q113" s="22" t="str">
        <f aca="false">IF($B113="","",$B113+10)</f>
        <v/>
      </c>
      <c r="R113" s="20"/>
      <c r="S113" s="23" t="str">
        <f aca="true">IF($B113="","",IF(AND($N113="Y",$P113="Y",$R113="Y"),"Done",IF(OR(AND($M113&lt;=TODAY(),$N113&lt;&gt;"Y"),AND($O113&lt;=TODAY(),$P113&lt;&gt;"Y"),AND($Q113&lt;=TODAY(),$R113&lt;&gt;"Y")),"DUE","Scheduled")))</f>
        <v/>
      </c>
      <c r="T113" s="20"/>
      <c r="U113" s="23" t="str">
        <f aca="false">IF($B113="","",IF(OR($T113&lt;=2,$I113="Editorial"),"REDO",""))</f>
        <v/>
      </c>
      <c r="V113" s="18" t="str">
        <f aca="false">IF($S113&lt;&gt;"DUE","",COUNTIF($S$3:$S113,"DUE"))</f>
        <v/>
      </c>
    </row>
    <row r="114" customFormat="false" ht="15" hidden="false" customHeight="false" outlineLevel="0" collapsed="false">
      <c r="A114" s="12" t="str">
        <f aca="false">IF($F114="","",ROW()-2)</f>
        <v/>
      </c>
      <c r="B114" s="19"/>
      <c r="C114" s="20"/>
      <c r="D114" s="21"/>
      <c r="E114" s="21"/>
      <c r="F114" s="21"/>
      <c r="G114" s="20"/>
      <c r="H114" s="21"/>
      <c r="I114" s="20"/>
      <c r="J114" s="20"/>
      <c r="K114" s="21"/>
      <c r="L114" s="21"/>
      <c r="M114" s="22" t="str">
        <f aca="false">IF($B114="","",$B114+2)</f>
        <v/>
      </c>
      <c r="N114" s="20"/>
      <c r="O114" s="22" t="str">
        <f aca="false">IF($B114="","",$B114+5)</f>
        <v/>
      </c>
      <c r="P114" s="20"/>
      <c r="Q114" s="22" t="str">
        <f aca="false">IF($B114="","",$B114+10)</f>
        <v/>
      </c>
      <c r="R114" s="20"/>
      <c r="S114" s="23" t="str">
        <f aca="true">IF($B114="","",IF(AND($N114="Y",$P114="Y",$R114="Y"),"Done",IF(OR(AND($M114&lt;=TODAY(),$N114&lt;&gt;"Y"),AND($O114&lt;=TODAY(),$P114&lt;&gt;"Y"),AND($Q114&lt;=TODAY(),$R114&lt;&gt;"Y")),"DUE","Scheduled")))</f>
        <v/>
      </c>
      <c r="T114" s="20"/>
      <c r="U114" s="23" t="str">
        <f aca="false">IF($B114="","",IF(OR($T114&lt;=2,$I114="Editorial"),"REDO",""))</f>
        <v/>
      </c>
      <c r="V114" s="18" t="str">
        <f aca="false">IF($S114&lt;&gt;"DUE","",COUNTIF($S$3:$S114,"DUE"))</f>
        <v/>
      </c>
    </row>
    <row r="115" customFormat="false" ht="15" hidden="false" customHeight="false" outlineLevel="0" collapsed="false">
      <c r="A115" s="12" t="str">
        <f aca="false">IF($F115="","",ROW()-2)</f>
        <v/>
      </c>
      <c r="B115" s="19"/>
      <c r="C115" s="20"/>
      <c r="D115" s="21"/>
      <c r="E115" s="21"/>
      <c r="F115" s="21"/>
      <c r="G115" s="20"/>
      <c r="H115" s="21"/>
      <c r="I115" s="20"/>
      <c r="J115" s="20"/>
      <c r="K115" s="21"/>
      <c r="L115" s="21"/>
      <c r="M115" s="22" t="str">
        <f aca="false">IF($B115="","",$B115+2)</f>
        <v/>
      </c>
      <c r="N115" s="20"/>
      <c r="O115" s="22" t="str">
        <f aca="false">IF($B115="","",$B115+5)</f>
        <v/>
      </c>
      <c r="P115" s="20"/>
      <c r="Q115" s="22" t="str">
        <f aca="false">IF($B115="","",$B115+10)</f>
        <v/>
      </c>
      <c r="R115" s="20"/>
      <c r="S115" s="23" t="str">
        <f aca="true">IF($B115="","",IF(AND($N115="Y",$P115="Y",$R115="Y"),"Done",IF(OR(AND($M115&lt;=TODAY(),$N115&lt;&gt;"Y"),AND($O115&lt;=TODAY(),$P115&lt;&gt;"Y"),AND($Q115&lt;=TODAY(),$R115&lt;&gt;"Y")),"DUE","Scheduled")))</f>
        <v/>
      </c>
      <c r="T115" s="20"/>
      <c r="U115" s="23" t="str">
        <f aca="false">IF($B115="","",IF(OR($T115&lt;=2,$I115="Editorial"),"REDO",""))</f>
        <v/>
      </c>
      <c r="V115" s="18" t="str">
        <f aca="false">IF($S115&lt;&gt;"DUE","",COUNTIF($S$3:$S115,"DUE"))</f>
        <v/>
      </c>
    </row>
    <row r="116" customFormat="false" ht="15" hidden="false" customHeight="false" outlineLevel="0" collapsed="false">
      <c r="A116" s="12" t="str">
        <f aca="false">IF($F116="","",ROW()-2)</f>
        <v/>
      </c>
      <c r="B116" s="19"/>
      <c r="C116" s="20"/>
      <c r="D116" s="21"/>
      <c r="E116" s="21"/>
      <c r="F116" s="21"/>
      <c r="G116" s="20"/>
      <c r="H116" s="21"/>
      <c r="I116" s="20"/>
      <c r="J116" s="20"/>
      <c r="K116" s="21"/>
      <c r="L116" s="21"/>
      <c r="M116" s="22" t="str">
        <f aca="false">IF($B116="","",$B116+2)</f>
        <v/>
      </c>
      <c r="N116" s="20"/>
      <c r="O116" s="22" t="str">
        <f aca="false">IF($B116="","",$B116+5)</f>
        <v/>
      </c>
      <c r="P116" s="20"/>
      <c r="Q116" s="22" t="str">
        <f aca="false">IF($B116="","",$B116+10)</f>
        <v/>
      </c>
      <c r="R116" s="20"/>
      <c r="S116" s="23" t="str">
        <f aca="true">IF($B116="","",IF(AND($N116="Y",$P116="Y",$R116="Y"),"Done",IF(OR(AND($M116&lt;=TODAY(),$N116&lt;&gt;"Y"),AND($O116&lt;=TODAY(),$P116&lt;&gt;"Y"),AND($Q116&lt;=TODAY(),$R116&lt;&gt;"Y")),"DUE","Scheduled")))</f>
        <v/>
      </c>
      <c r="T116" s="20"/>
      <c r="U116" s="23" t="str">
        <f aca="false">IF($B116="","",IF(OR($T116&lt;=2,$I116="Editorial"),"REDO",""))</f>
        <v/>
      </c>
      <c r="V116" s="18" t="str">
        <f aca="false">IF($S116&lt;&gt;"DUE","",COUNTIF($S$3:$S116,"DUE"))</f>
        <v/>
      </c>
    </row>
    <row r="117" customFormat="false" ht="15" hidden="false" customHeight="false" outlineLevel="0" collapsed="false">
      <c r="A117" s="12" t="str">
        <f aca="false">IF($F117="","",ROW()-2)</f>
        <v/>
      </c>
      <c r="B117" s="19"/>
      <c r="C117" s="20"/>
      <c r="D117" s="21"/>
      <c r="E117" s="21"/>
      <c r="F117" s="21"/>
      <c r="G117" s="20"/>
      <c r="H117" s="21"/>
      <c r="I117" s="20"/>
      <c r="J117" s="20"/>
      <c r="K117" s="21"/>
      <c r="L117" s="21"/>
      <c r="M117" s="22" t="str">
        <f aca="false">IF($B117="","",$B117+2)</f>
        <v/>
      </c>
      <c r="N117" s="20"/>
      <c r="O117" s="22" t="str">
        <f aca="false">IF($B117="","",$B117+5)</f>
        <v/>
      </c>
      <c r="P117" s="20"/>
      <c r="Q117" s="22" t="str">
        <f aca="false">IF($B117="","",$B117+10)</f>
        <v/>
      </c>
      <c r="R117" s="20"/>
      <c r="S117" s="23" t="str">
        <f aca="true">IF($B117="","",IF(AND($N117="Y",$P117="Y",$R117="Y"),"Done",IF(OR(AND($M117&lt;=TODAY(),$N117&lt;&gt;"Y"),AND($O117&lt;=TODAY(),$P117&lt;&gt;"Y"),AND($Q117&lt;=TODAY(),$R117&lt;&gt;"Y")),"DUE","Scheduled")))</f>
        <v/>
      </c>
      <c r="T117" s="20"/>
      <c r="U117" s="23" t="str">
        <f aca="false">IF($B117="","",IF(OR($T117&lt;=2,$I117="Editorial"),"REDO",""))</f>
        <v/>
      </c>
      <c r="V117" s="18" t="str">
        <f aca="false">IF($S117&lt;&gt;"DUE","",COUNTIF($S$3:$S117,"DUE"))</f>
        <v/>
      </c>
    </row>
    <row r="118" customFormat="false" ht="15" hidden="false" customHeight="false" outlineLevel="0" collapsed="false">
      <c r="A118" s="12" t="str">
        <f aca="false">IF($F118="","",ROW()-2)</f>
        <v/>
      </c>
      <c r="B118" s="19"/>
      <c r="C118" s="20"/>
      <c r="D118" s="21"/>
      <c r="E118" s="21"/>
      <c r="F118" s="21"/>
      <c r="G118" s="20"/>
      <c r="H118" s="21"/>
      <c r="I118" s="20"/>
      <c r="J118" s="20"/>
      <c r="K118" s="21"/>
      <c r="L118" s="21"/>
      <c r="M118" s="22" t="str">
        <f aca="false">IF($B118="","",$B118+2)</f>
        <v/>
      </c>
      <c r="N118" s="20"/>
      <c r="O118" s="22" t="str">
        <f aca="false">IF($B118="","",$B118+5)</f>
        <v/>
      </c>
      <c r="P118" s="20"/>
      <c r="Q118" s="22" t="str">
        <f aca="false">IF($B118="","",$B118+10)</f>
        <v/>
      </c>
      <c r="R118" s="20"/>
      <c r="S118" s="23" t="str">
        <f aca="true">IF($B118="","",IF(AND($N118="Y",$P118="Y",$R118="Y"),"Done",IF(OR(AND($M118&lt;=TODAY(),$N118&lt;&gt;"Y"),AND($O118&lt;=TODAY(),$P118&lt;&gt;"Y"),AND($Q118&lt;=TODAY(),$R118&lt;&gt;"Y")),"DUE","Scheduled")))</f>
        <v/>
      </c>
      <c r="T118" s="20"/>
      <c r="U118" s="23" t="str">
        <f aca="false">IF($B118="","",IF(OR($T118&lt;=2,$I118="Editorial"),"REDO",""))</f>
        <v/>
      </c>
      <c r="V118" s="18" t="str">
        <f aca="false">IF($S118&lt;&gt;"DUE","",COUNTIF($S$3:$S118,"DUE"))</f>
        <v/>
      </c>
    </row>
    <row r="119" customFormat="false" ht="15" hidden="false" customHeight="false" outlineLevel="0" collapsed="false">
      <c r="A119" s="12" t="str">
        <f aca="false">IF($F119="","",ROW()-2)</f>
        <v/>
      </c>
      <c r="B119" s="19"/>
      <c r="C119" s="20"/>
      <c r="D119" s="21"/>
      <c r="E119" s="21"/>
      <c r="F119" s="21"/>
      <c r="G119" s="20"/>
      <c r="H119" s="21"/>
      <c r="I119" s="20"/>
      <c r="J119" s="20"/>
      <c r="K119" s="21"/>
      <c r="L119" s="21"/>
      <c r="M119" s="22" t="str">
        <f aca="false">IF($B119="","",$B119+2)</f>
        <v/>
      </c>
      <c r="N119" s="20"/>
      <c r="O119" s="22" t="str">
        <f aca="false">IF($B119="","",$B119+5)</f>
        <v/>
      </c>
      <c r="P119" s="20"/>
      <c r="Q119" s="22" t="str">
        <f aca="false">IF($B119="","",$B119+10)</f>
        <v/>
      </c>
      <c r="R119" s="20"/>
      <c r="S119" s="23" t="str">
        <f aca="true">IF($B119="","",IF(AND($N119="Y",$P119="Y",$R119="Y"),"Done",IF(OR(AND($M119&lt;=TODAY(),$N119&lt;&gt;"Y"),AND($O119&lt;=TODAY(),$P119&lt;&gt;"Y"),AND($Q119&lt;=TODAY(),$R119&lt;&gt;"Y")),"DUE","Scheduled")))</f>
        <v/>
      </c>
      <c r="T119" s="20"/>
      <c r="U119" s="23" t="str">
        <f aca="false">IF($B119="","",IF(OR($T119&lt;=2,$I119="Editorial"),"REDO",""))</f>
        <v/>
      </c>
      <c r="V119" s="18" t="str">
        <f aca="false">IF($S119&lt;&gt;"DUE","",COUNTIF($S$3:$S119,"DUE"))</f>
        <v/>
      </c>
    </row>
    <row r="120" customFormat="false" ht="15" hidden="false" customHeight="false" outlineLevel="0" collapsed="false">
      <c r="A120" s="12" t="str">
        <f aca="false">IF($F120="","",ROW()-2)</f>
        <v/>
      </c>
      <c r="B120" s="19"/>
      <c r="C120" s="20"/>
      <c r="D120" s="21"/>
      <c r="E120" s="21"/>
      <c r="F120" s="21"/>
      <c r="G120" s="20"/>
      <c r="H120" s="21"/>
      <c r="I120" s="20"/>
      <c r="J120" s="20"/>
      <c r="K120" s="21"/>
      <c r="L120" s="21"/>
      <c r="M120" s="22" t="str">
        <f aca="false">IF($B120="","",$B120+2)</f>
        <v/>
      </c>
      <c r="N120" s="20"/>
      <c r="O120" s="22" t="str">
        <f aca="false">IF($B120="","",$B120+5)</f>
        <v/>
      </c>
      <c r="P120" s="20"/>
      <c r="Q120" s="22" t="str">
        <f aca="false">IF($B120="","",$B120+10)</f>
        <v/>
      </c>
      <c r="R120" s="20"/>
      <c r="S120" s="23" t="str">
        <f aca="true">IF($B120="","",IF(AND($N120="Y",$P120="Y",$R120="Y"),"Done",IF(OR(AND($M120&lt;=TODAY(),$N120&lt;&gt;"Y"),AND($O120&lt;=TODAY(),$P120&lt;&gt;"Y"),AND($Q120&lt;=TODAY(),$R120&lt;&gt;"Y")),"DUE","Scheduled")))</f>
        <v/>
      </c>
      <c r="T120" s="20"/>
      <c r="U120" s="23" t="str">
        <f aca="false">IF($B120="","",IF(OR($T120&lt;=2,$I120="Editorial"),"REDO",""))</f>
        <v/>
      </c>
      <c r="V120" s="18" t="str">
        <f aca="false">IF($S120&lt;&gt;"DUE","",COUNTIF($S$3:$S120,"DUE"))</f>
        <v/>
      </c>
    </row>
    <row r="121" customFormat="false" ht="15" hidden="false" customHeight="false" outlineLevel="0" collapsed="false">
      <c r="A121" s="12" t="str">
        <f aca="false">IF($F121="","",ROW()-2)</f>
        <v/>
      </c>
      <c r="B121" s="19"/>
      <c r="C121" s="20"/>
      <c r="D121" s="21"/>
      <c r="E121" s="21"/>
      <c r="F121" s="21"/>
      <c r="G121" s="20"/>
      <c r="H121" s="21"/>
      <c r="I121" s="20"/>
      <c r="J121" s="20"/>
      <c r="K121" s="21"/>
      <c r="L121" s="21"/>
      <c r="M121" s="22" t="str">
        <f aca="false">IF($B121="","",$B121+2)</f>
        <v/>
      </c>
      <c r="N121" s="20"/>
      <c r="O121" s="22" t="str">
        <f aca="false">IF($B121="","",$B121+5)</f>
        <v/>
      </c>
      <c r="P121" s="20"/>
      <c r="Q121" s="22" t="str">
        <f aca="false">IF($B121="","",$B121+10)</f>
        <v/>
      </c>
      <c r="R121" s="20"/>
      <c r="S121" s="23" t="str">
        <f aca="true">IF($B121="","",IF(AND($N121="Y",$P121="Y",$R121="Y"),"Done",IF(OR(AND($M121&lt;=TODAY(),$N121&lt;&gt;"Y"),AND($O121&lt;=TODAY(),$P121&lt;&gt;"Y"),AND($Q121&lt;=TODAY(),$R121&lt;&gt;"Y")),"DUE","Scheduled")))</f>
        <v/>
      </c>
      <c r="T121" s="20"/>
      <c r="U121" s="23" t="str">
        <f aca="false">IF($B121="","",IF(OR($T121&lt;=2,$I121="Editorial"),"REDO",""))</f>
        <v/>
      </c>
      <c r="V121" s="18" t="str">
        <f aca="false">IF($S121&lt;&gt;"DUE","",COUNTIF($S$3:$S121,"DUE"))</f>
        <v/>
      </c>
    </row>
    <row r="122" customFormat="false" ht="15" hidden="false" customHeight="false" outlineLevel="0" collapsed="false">
      <c r="A122" s="12" t="str">
        <f aca="false">IF($F122="","",ROW()-2)</f>
        <v/>
      </c>
      <c r="B122" s="19"/>
      <c r="C122" s="20"/>
      <c r="D122" s="21"/>
      <c r="E122" s="21"/>
      <c r="F122" s="21"/>
      <c r="G122" s="20"/>
      <c r="H122" s="21"/>
      <c r="I122" s="20"/>
      <c r="J122" s="20"/>
      <c r="K122" s="21"/>
      <c r="L122" s="21"/>
      <c r="M122" s="22" t="str">
        <f aca="false">IF($B122="","",$B122+2)</f>
        <v/>
      </c>
      <c r="N122" s="20"/>
      <c r="O122" s="22" t="str">
        <f aca="false">IF($B122="","",$B122+5)</f>
        <v/>
      </c>
      <c r="P122" s="20"/>
      <c r="Q122" s="22" t="str">
        <f aca="false">IF($B122="","",$B122+10)</f>
        <v/>
      </c>
      <c r="R122" s="20"/>
      <c r="S122" s="23" t="str">
        <f aca="true">IF($B122="","",IF(AND($N122="Y",$P122="Y",$R122="Y"),"Done",IF(OR(AND($M122&lt;=TODAY(),$N122&lt;&gt;"Y"),AND($O122&lt;=TODAY(),$P122&lt;&gt;"Y"),AND($Q122&lt;=TODAY(),$R122&lt;&gt;"Y")),"DUE","Scheduled")))</f>
        <v/>
      </c>
      <c r="T122" s="20"/>
      <c r="U122" s="23" t="str">
        <f aca="false">IF($B122="","",IF(OR($T122&lt;=2,$I122="Editorial"),"REDO",""))</f>
        <v/>
      </c>
      <c r="V122" s="18" t="str">
        <f aca="false">IF($S122&lt;&gt;"DUE","",COUNTIF($S$3:$S122,"DUE"))</f>
        <v/>
      </c>
    </row>
    <row r="123" customFormat="false" ht="15" hidden="false" customHeight="false" outlineLevel="0" collapsed="false">
      <c r="A123" s="12" t="str">
        <f aca="false">IF($F123="","",ROW()-2)</f>
        <v/>
      </c>
      <c r="B123" s="19"/>
      <c r="C123" s="20"/>
      <c r="D123" s="21"/>
      <c r="E123" s="21"/>
      <c r="F123" s="21"/>
      <c r="G123" s="20"/>
      <c r="H123" s="21"/>
      <c r="I123" s="20"/>
      <c r="J123" s="20"/>
      <c r="K123" s="21"/>
      <c r="L123" s="21"/>
      <c r="M123" s="22" t="str">
        <f aca="false">IF($B123="","",$B123+2)</f>
        <v/>
      </c>
      <c r="N123" s="20"/>
      <c r="O123" s="22" t="str">
        <f aca="false">IF($B123="","",$B123+5)</f>
        <v/>
      </c>
      <c r="P123" s="20"/>
      <c r="Q123" s="22" t="str">
        <f aca="false">IF($B123="","",$B123+10)</f>
        <v/>
      </c>
      <c r="R123" s="20"/>
      <c r="S123" s="23" t="str">
        <f aca="true">IF($B123="","",IF(AND($N123="Y",$P123="Y",$R123="Y"),"Done",IF(OR(AND($M123&lt;=TODAY(),$N123&lt;&gt;"Y"),AND($O123&lt;=TODAY(),$P123&lt;&gt;"Y"),AND($Q123&lt;=TODAY(),$R123&lt;&gt;"Y")),"DUE","Scheduled")))</f>
        <v/>
      </c>
      <c r="T123" s="20"/>
      <c r="U123" s="23" t="str">
        <f aca="false">IF($B123="","",IF(OR($T123&lt;=2,$I123="Editorial"),"REDO",""))</f>
        <v/>
      </c>
      <c r="V123" s="18" t="str">
        <f aca="false">IF($S123&lt;&gt;"DUE","",COUNTIF($S$3:$S123,"DUE"))</f>
        <v/>
      </c>
    </row>
    <row r="124" customFormat="false" ht="15" hidden="false" customHeight="false" outlineLevel="0" collapsed="false">
      <c r="A124" s="12" t="str">
        <f aca="false">IF($F124="","",ROW()-2)</f>
        <v/>
      </c>
      <c r="B124" s="19"/>
      <c r="C124" s="20"/>
      <c r="D124" s="21"/>
      <c r="E124" s="21"/>
      <c r="F124" s="21"/>
      <c r="G124" s="20"/>
      <c r="H124" s="21"/>
      <c r="I124" s="20"/>
      <c r="J124" s="20"/>
      <c r="K124" s="21"/>
      <c r="L124" s="21"/>
      <c r="M124" s="22" t="str">
        <f aca="false">IF($B124="","",$B124+2)</f>
        <v/>
      </c>
      <c r="N124" s="20"/>
      <c r="O124" s="22" t="str">
        <f aca="false">IF($B124="","",$B124+5)</f>
        <v/>
      </c>
      <c r="P124" s="20"/>
      <c r="Q124" s="22" t="str">
        <f aca="false">IF($B124="","",$B124+10)</f>
        <v/>
      </c>
      <c r="R124" s="20"/>
      <c r="S124" s="23" t="str">
        <f aca="true">IF($B124="","",IF(AND($N124="Y",$P124="Y",$R124="Y"),"Done",IF(OR(AND($M124&lt;=TODAY(),$N124&lt;&gt;"Y"),AND($O124&lt;=TODAY(),$P124&lt;&gt;"Y"),AND($Q124&lt;=TODAY(),$R124&lt;&gt;"Y")),"DUE","Scheduled")))</f>
        <v/>
      </c>
      <c r="T124" s="20"/>
      <c r="U124" s="23" t="str">
        <f aca="false">IF($B124="","",IF(OR($T124&lt;=2,$I124="Editorial"),"REDO",""))</f>
        <v/>
      </c>
      <c r="V124" s="18" t="str">
        <f aca="false">IF($S124&lt;&gt;"DUE","",COUNTIF($S$3:$S124,"DUE"))</f>
        <v/>
      </c>
    </row>
    <row r="125" customFormat="false" ht="15" hidden="false" customHeight="false" outlineLevel="0" collapsed="false">
      <c r="A125" s="12" t="str">
        <f aca="false">IF($F125="","",ROW()-2)</f>
        <v/>
      </c>
      <c r="B125" s="19"/>
      <c r="C125" s="20"/>
      <c r="D125" s="21"/>
      <c r="E125" s="21"/>
      <c r="F125" s="21"/>
      <c r="G125" s="20"/>
      <c r="H125" s="21"/>
      <c r="I125" s="20"/>
      <c r="J125" s="20"/>
      <c r="K125" s="21"/>
      <c r="L125" s="21"/>
      <c r="M125" s="22" t="str">
        <f aca="false">IF($B125="","",$B125+2)</f>
        <v/>
      </c>
      <c r="N125" s="20"/>
      <c r="O125" s="22" t="str">
        <f aca="false">IF($B125="","",$B125+5)</f>
        <v/>
      </c>
      <c r="P125" s="20"/>
      <c r="Q125" s="22" t="str">
        <f aca="false">IF($B125="","",$B125+10)</f>
        <v/>
      </c>
      <c r="R125" s="20"/>
      <c r="S125" s="23" t="str">
        <f aca="true">IF($B125="","",IF(AND($N125="Y",$P125="Y",$R125="Y"),"Done",IF(OR(AND($M125&lt;=TODAY(),$N125&lt;&gt;"Y"),AND($O125&lt;=TODAY(),$P125&lt;&gt;"Y"),AND($Q125&lt;=TODAY(),$R125&lt;&gt;"Y")),"DUE","Scheduled")))</f>
        <v/>
      </c>
      <c r="T125" s="20"/>
      <c r="U125" s="23" t="str">
        <f aca="false">IF($B125="","",IF(OR($T125&lt;=2,$I125="Editorial"),"REDO",""))</f>
        <v/>
      </c>
      <c r="V125" s="18" t="str">
        <f aca="false">IF($S125&lt;&gt;"DUE","",COUNTIF($S$3:$S125,"DUE"))</f>
        <v/>
      </c>
    </row>
    <row r="126" customFormat="false" ht="15" hidden="false" customHeight="false" outlineLevel="0" collapsed="false">
      <c r="A126" s="12" t="str">
        <f aca="false">IF($F126="","",ROW()-2)</f>
        <v/>
      </c>
      <c r="B126" s="19"/>
      <c r="C126" s="20"/>
      <c r="D126" s="21"/>
      <c r="E126" s="21"/>
      <c r="F126" s="21"/>
      <c r="G126" s="20"/>
      <c r="H126" s="21"/>
      <c r="I126" s="20"/>
      <c r="J126" s="20"/>
      <c r="K126" s="21"/>
      <c r="L126" s="21"/>
      <c r="M126" s="22" t="str">
        <f aca="false">IF($B126="","",$B126+2)</f>
        <v/>
      </c>
      <c r="N126" s="20"/>
      <c r="O126" s="22" t="str">
        <f aca="false">IF($B126="","",$B126+5)</f>
        <v/>
      </c>
      <c r="P126" s="20"/>
      <c r="Q126" s="22" t="str">
        <f aca="false">IF($B126="","",$B126+10)</f>
        <v/>
      </c>
      <c r="R126" s="20"/>
      <c r="S126" s="23" t="str">
        <f aca="true">IF($B126="","",IF(AND($N126="Y",$P126="Y",$R126="Y"),"Done",IF(OR(AND($M126&lt;=TODAY(),$N126&lt;&gt;"Y"),AND($O126&lt;=TODAY(),$P126&lt;&gt;"Y"),AND($Q126&lt;=TODAY(),$R126&lt;&gt;"Y")),"DUE","Scheduled")))</f>
        <v/>
      </c>
      <c r="T126" s="20"/>
      <c r="U126" s="23" t="str">
        <f aca="false">IF($B126="","",IF(OR($T126&lt;=2,$I126="Editorial"),"REDO",""))</f>
        <v/>
      </c>
      <c r="V126" s="18" t="str">
        <f aca="false">IF($S126&lt;&gt;"DUE","",COUNTIF($S$3:$S126,"DUE"))</f>
        <v/>
      </c>
    </row>
    <row r="127" customFormat="false" ht="15" hidden="false" customHeight="false" outlineLevel="0" collapsed="false">
      <c r="A127" s="12" t="str">
        <f aca="false">IF($F127="","",ROW()-2)</f>
        <v/>
      </c>
      <c r="B127" s="19"/>
      <c r="C127" s="20"/>
      <c r="D127" s="21"/>
      <c r="E127" s="21"/>
      <c r="F127" s="21"/>
      <c r="G127" s="20"/>
      <c r="H127" s="21"/>
      <c r="I127" s="20"/>
      <c r="J127" s="20"/>
      <c r="K127" s="21"/>
      <c r="L127" s="21"/>
      <c r="M127" s="22" t="str">
        <f aca="false">IF($B127="","",$B127+2)</f>
        <v/>
      </c>
      <c r="N127" s="20"/>
      <c r="O127" s="22" t="str">
        <f aca="false">IF($B127="","",$B127+5)</f>
        <v/>
      </c>
      <c r="P127" s="20"/>
      <c r="Q127" s="22" t="str">
        <f aca="false">IF($B127="","",$B127+10)</f>
        <v/>
      </c>
      <c r="R127" s="20"/>
      <c r="S127" s="23" t="str">
        <f aca="true">IF($B127="","",IF(AND($N127="Y",$P127="Y",$R127="Y"),"Done",IF(OR(AND($M127&lt;=TODAY(),$N127&lt;&gt;"Y"),AND($O127&lt;=TODAY(),$P127&lt;&gt;"Y"),AND($Q127&lt;=TODAY(),$R127&lt;&gt;"Y")),"DUE","Scheduled")))</f>
        <v/>
      </c>
      <c r="T127" s="20"/>
      <c r="U127" s="23" t="str">
        <f aca="false">IF($B127="","",IF(OR($T127&lt;=2,$I127="Editorial"),"REDO",""))</f>
        <v/>
      </c>
      <c r="V127" s="18" t="str">
        <f aca="false">IF($S127&lt;&gt;"DUE","",COUNTIF($S$3:$S127,"DUE"))</f>
        <v/>
      </c>
    </row>
    <row r="128" customFormat="false" ht="15" hidden="false" customHeight="false" outlineLevel="0" collapsed="false">
      <c r="A128" s="12" t="str">
        <f aca="false">IF($F128="","",ROW()-2)</f>
        <v/>
      </c>
      <c r="B128" s="19"/>
      <c r="C128" s="20"/>
      <c r="D128" s="21"/>
      <c r="E128" s="21"/>
      <c r="F128" s="21"/>
      <c r="G128" s="20"/>
      <c r="H128" s="21"/>
      <c r="I128" s="20"/>
      <c r="J128" s="20"/>
      <c r="K128" s="21"/>
      <c r="L128" s="21"/>
      <c r="M128" s="22" t="str">
        <f aca="false">IF($B128="","",$B128+2)</f>
        <v/>
      </c>
      <c r="N128" s="20"/>
      <c r="O128" s="22" t="str">
        <f aca="false">IF($B128="","",$B128+5)</f>
        <v/>
      </c>
      <c r="P128" s="20"/>
      <c r="Q128" s="22" t="str">
        <f aca="false">IF($B128="","",$B128+10)</f>
        <v/>
      </c>
      <c r="R128" s="20"/>
      <c r="S128" s="23" t="str">
        <f aca="true">IF($B128="","",IF(AND($N128="Y",$P128="Y",$R128="Y"),"Done",IF(OR(AND($M128&lt;=TODAY(),$N128&lt;&gt;"Y"),AND($O128&lt;=TODAY(),$P128&lt;&gt;"Y"),AND($Q128&lt;=TODAY(),$R128&lt;&gt;"Y")),"DUE","Scheduled")))</f>
        <v/>
      </c>
      <c r="T128" s="20"/>
      <c r="U128" s="23" t="str">
        <f aca="false">IF($B128="","",IF(OR($T128&lt;=2,$I128="Editorial"),"REDO",""))</f>
        <v/>
      </c>
      <c r="V128" s="18" t="str">
        <f aca="false">IF($S128&lt;&gt;"DUE","",COUNTIF($S$3:$S128,"DUE"))</f>
        <v/>
      </c>
    </row>
    <row r="129" customFormat="false" ht="15" hidden="false" customHeight="false" outlineLevel="0" collapsed="false">
      <c r="A129" s="12" t="str">
        <f aca="false">IF($F129="","",ROW()-2)</f>
        <v/>
      </c>
      <c r="B129" s="19"/>
      <c r="C129" s="20"/>
      <c r="D129" s="21"/>
      <c r="E129" s="21"/>
      <c r="F129" s="21"/>
      <c r="G129" s="20"/>
      <c r="H129" s="21"/>
      <c r="I129" s="20"/>
      <c r="J129" s="20"/>
      <c r="K129" s="21"/>
      <c r="L129" s="21"/>
      <c r="M129" s="22" t="str">
        <f aca="false">IF($B129="","",$B129+2)</f>
        <v/>
      </c>
      <c r="N129" s="20"/>
      <c r="O129" s="22" t="str">
        <f aca="false">IF($B129="","",$B129+5)</f>
        <v/>
      </c>
      <c r="P129" s="20"/>
      <c r="Q129" s="22" t="str">
        <f aca="false">IF($B129="","",$B129+10)</f>
        <v/>
      </c>
      <c r="R129" s="20"/>
      <c r="S129" s="23" t="str">
        <f aca="true">IF($B129="","",IF(AND($N129="Y",$P129="Y",$R129="Y"),"Done",IF(OR(AND($M129&lt;=TODAY(),$N129&lt;&gt;"Y"),AND($O129&lt;=TODAY(),$P129&lt;&gt;"Y"),AND($Q129&lt;=TODAY(),$R129&lt;&gt;"Y")),"DUE","Scheduled")))</f>
        <v/>
      </c>
      <c r="T129" s="20"/>
      <c r="U129" s="23" t="str">
        <f aca="false">IF($B129="","",IF(OR($T129&lt;=2,$I129="Editorial"),"REDO",""))</f>
        <v/>
      </c>
      <c r="V129" s="18" t="str">
        <f aca="false">IF($S129&lt;&gt;"DUE","",COUNTIF($S$3:$S129,"DUE"))</f>
        <v/>
      </c>
    </row>
    <row r="130" customFormat="false" ht="15" hidden="false" customHeight="false" outlineLevel="0" collapsed="false">
      <c r="A130" s="12" t="str">
        <f aca="false">IF($F130="","",ROW()-2)</f>
        <v/>
      </c>
      <c r="B130" s="19"/>
      <c r="C130" s="20"/>
      <c r="D130" s="21"/>
      <c r="E130" s="21"/>
      <c r="F130" s="21"/>
      <c r="G130" s="20"/>
      <c r="H130" s="21"/>
      <c r="I130" s="20"/>
      <c r="J130" s="20"/>
      <c r="K130" s="21"/>
      <c r="L130" s="21"/>
      <c r="M130" s="22" t="str">
        <f aca="false">IF($B130="","",$B130+2)</f>
        <v/>
      </c>
      <c r="N130" s="20"/>
      <c r="O130" s="22" t="str">
        <f aca="false">IF($B130="","",$B130+5)</f>
        <v/>
      </c>
      <c r="P130" s="20"/>
      <c r="Q130" s="22" t="str">
        <f aca="false">IF($B130="","",$B130+10)</f>
        <v/>
      </c>
      <c r="R130" s="20"/>
      <c r="S130" s="23" t="str">
        <f aca="true">IF($B130="","",IF(AND($N130="Y",$P130="Y",$R130="Y"),"Done",IF(OR(AND($M130&lt;=TODAY(),$N130&lt;&gt;"Y"),AND($O130&lt;=TODAY(),$P130&lt;&gt;"Y"),AND($Q130&lt;=TODAY(),$R130&lt;&gt;"Y")),"DUE","Scheduled")))</f>
        <v/>
      </c>
      <c r="T130" s="20"/>
      <c r="U130" s="23" t="str">
        <f aca="false">IF($B130="","",IF(OR($T130&lt;=2,$I130="Editorial"),"REDO",""))</f>
        <v/>
      </c>
      <c r="V130" s="18" t="str">
        <f aca="false">IF($S130&lt;&gt;"DUE","",COUNTIF($S$3:$S130,"DUE"))</f>
        <v/>
      </c>
    </row>
    <row r="131" customFormat="false" ht="15" hidden="false" customHeight="false" outlineLevel="0" collapsed="false">
      <c r="A131" s="12" t="str">
        <f aca="false">IF($F131="","",ROW()-2)</f>
        <v/>
      </c>
      <c r="B131" s="19"/>
      <c r="C131" s="20"/>
      <c r="D131" s="21"/>
      <c r="E131" s="21"/>
      <c r="F131" s="21"/>
      <c r="G131" s="20"/>
      <c r="H131" s="21"/>
      <c r="I131" s="20"/>
      <c r="J131" s="20"/>
      <c r="K131" s="21"/>
      <c r="L131" s="21"/>
      <c r="M131" s="22" t="str">
        <f aca="false">IF($B131="","",$B131+2)</f>
        <v/>
      </c>
      <c r="N131" s="20"/>
      <c r="O131" s="22" t="str">
        <f aca="false">IF($B131="","",$B131+5)</f>
        <v/>
      </c>
      <c r="P131" s="20"/>
      <c r="Q131" s="22" t="str">
        <f aca="false">IF($B131="","",$B131+10)</f>
        <v/>
      </c>
      <c r="R131" s="20"/>
      <c r="S131" s="23" t="str">
        <f aca="true">IF($B131="","",IF(AND($N131="Y",$P131="Y",$R131="Y"),"Done",IF(OR(AND($M131&lt;=TODAY(),$N131&lt;&gt;"Y"),AND($O131&lt;=TODAY(),$P131&lt;&gt;"Y"),AND($Q131&lt;=TODAY(),$R131&lt;&gt;"Y")),"DUE","Scheduled")))</f>
        <v/>
      </c>
      <c r="T131" s="20"/>
      <c r="U131" s="23" t="str">
        <f aca="false">IF($B131="","",IF(OR($T131&lt;=2,$I131="Editorial"),"REDO",""))</f>
        <v/>
      </c>
      <c r="V131" s="18" t="str">
        <f aca="false">IF($S131&lt;&gt;"DUE","",COUNTIF($S$3:$S131,"DUE"))</f>
        <v/>
      </c>
    </row>
    <row r="132" customFormat="false" ht="15" hidden="false" customHeight="false" outlineLevel="0" collapsed="false">
      <c r="A132" s="12" t="str">
        <f aca="false">IF($F132="","",ROW()-2)</f>
        <v/>
      </c>
      <c r="B132" s="19"/>
      <c r="C132" s="20"/>
      <c r="D132" s="21"/>
      <c r="E132" s="21"/>
      <c r="F132" s="21"/>
      <c r="G132" s="20"/>
      <c r="H132" s="21"/>
      <c r="I132" s="20"/>
      <c r="J132" s="20"/>
      <c r="K132" s="21"/>
      <c r="L132" s="21"/>
      <c r="M132" s="22" t="str">
        <f aca="false">IF($B132="","",$B132+2)</f>
        <v/>
      </c>
      <c r="N132" s="20"/>
      <c r="O132" s="22" t="str">
        <f aca="false">IF($B132="","",$B132+5)</f>
        <v/>
      </c>
      <c r="P132" s="20"/>
      <c r="Q132" s="22" t="str">
        <f aca="false">IF($B132="","",$B132+10)</f>
        <v/>
      </c>
      <c r="R132" s="20"/>
      <c r="S132" s="23" t="str">
        <f aca="true">IF($B132="","",IF(AND($N132="Y",$P132="Y",$R132="Y"),"Done",IF(OR(AND($M132&lt;=TODAY(),$N132&lt;&gt;"Y"),AND($O132&lt;=TODAY(),$P132&lt;&gt;"Y"),AND($Q132&lt;=TODAY(),$R132&lt;&gt;"Y")),"DUE","Scheduled")))</f>
        <v/>
      </c>
      <c r="T132" s="20"/>
      <c r="U132" s="23" t="str">
        <f aca="false">IF($B132="","",IF(OR($T132&lt;=2,$I132="Editorial"),"REDO",""))</f>
        <v/>
      </c>
      <c r="V132" s="18" t="str">
        <f aca="false">IF($S132&lt;&gt;"DUE","",COUNTIF($S$3:$S132,"DUE"))</f>
        <v/>
      </c>
    </row>
    <row r="133" customFormat="false" ht="15" hidden="false" customHeight="false" outlineLevel="0" collapsed="false">
      <c r="A133" s="12" t="str">
        <f aca="false">IF($F133="","",ROW()-2)</f>
        <v/>
      </c>
      <c r="B133" s="19"/>
      <c r="C133" s="20"/>
      <c r="D133" s="21"/>
      <c r="E133" s="21"/>
      <c r="F133" s="21"/>
      <c r="G133" s="20"/>
      <c r="H133" s="21"/>
      <c r="I133" s="20"/>
      <c r="J133" s="20"/>
      <c r="K133" s="21"/>
      <c r="L133" s="21"/>
      <c r="M133" s="22" t="str">
        <f aca="false">IF($B133="","",$B133+2)</f>
        <v/>
      </c>
      <c r="N133" s="20"/>
      <c r="O133" s="22" t="str">
        <f aca="false">IF($B133="","",$B133+5)</f>
        <v/>
      </c>
      <c r="P133" s="20"/>
      <c r="Q133" s="22" t="str">
        <f aca="false">IF($B133="","",$B133+10)</f>
        <v/>
      </c>
      <c r="R133" s="20"/>
      <c r="S133" s="23" t="str">
        <f aca="true">IF($B133="","",IF(AND($N133="Y",$P133="Y",$R133="Y"),"Done",IF(OR(AND($M133&lt;=TODAY(),$N133&lt;&gt;"Y"),AND($O133&lt;=TODAY(),$P133&lt;&gt;"Y"),AND($Q133&lt;=TODAY(),$R133&lt;&gt;"Y")),"DUE","Scheduled")))</f>
        <v/>
      </c>
      <c r="T133" s="20"/>
      <c r="U133" s="23" t="str">
        <f aca="false">IF($B133="","",IF(OR($T133&lt;=2,$I133="Editorial"),"REDO",""))</f>
        <v/>
      </c>
      <c r="V133" s="18" t="str">
        <f aca="false">IF($S133&lt;&gt;"DUE","",COUNTIF($S$3:$S133,"DUE"))</f>
        <v/>
      </c>
    </row>
    <row r="134" customFormat="false" ht="15" hidden="false" customHeight="false" outlineLevel="0" collapsed="false">
      <c r="A134" s="12" t="str">
        <f aca="false">IF($F134="","",ROW()-2)</f>
        <v/>
      </c>
      <c r="B134" s="19"/>
      <c r="C134" s="20"/>
      <c r="D134" s="21"/>
      <c r="E134" s="21"/>
      <c r="F134" s="21"/>
      <c r="G134" s="20"/>
      <c r="H134" s="21"/>
      <c r="I134" s="20"/>
      <c r="J134" s="20"/>
      <c r="K134" s="21"/>
      <c r="L134" s="21"/>
      <c r="M134" s="22" t="str">
        <f aca="false">IF($B134="","",$B134+2)</f>
        <v/>
      </c>
      <c r="N134" s="20"/>
      <c r="O134" s="22" t="str">
        <f aca="false">IF($B134="","",$B134+5)</f>
        <v/>
      </c>
      <c r="P134" s="20"/>
      <c r="Q134" s="22" t="str">
        <f aca="false">IF($B134="","",$B134+10)</f>
        <v/>
      </c>
      <c r="R134" s="20"/>
      <c r="S134" s="23" t="str">
        <f aca="true">IF($B134="","",IF(AND($N134="Y",$P134="Y",$R134="Y"),"Done",IF(OR(AND($M134&lt;=TODAY(),$N134&lt;&gt;"Y"),AND($O134&lt;=TODAY(),$P134&lt;&gt;"Y"),AND($Q134&lt;=TODAY(),$R134&lt;&gt;"Y")),"DUE","Scheduled")))</f>
        <v/>
      </c>
      <c r="T134" s="20"/>
      <c r="U134" s="23" t="str">
        <f aca="false">IF($B134="","",IF(OR($T134&lt;=2,$I134="Editorial"),"REDO",""))</f>
        <v/>
      </c>
      <c r="V134" s="18" t="str">
        <f aca="false">IF($S134&lt;&gt;"DUE","",COUNTIF($S$3:$S134,"DUE"))</f>
        <v/>
      </c>
    </row>
    <row r="135" customFormat="false" ht="15" hidden="false" customHeight="false" outlineLevel="0" collapsed="false">
      <c r="A135" s="12" t="str">
        <f aca="false">IF($F135="","",ROW()-2)</f>
        <v/>
      </c>
      <c r="B135" s="19"/>
      <c r="C135" s="20"/>
      <c r="D135" s="21"/>
      <c r="E135" s="21"/>
      <c r="F135" s="21"/>
      <c r="G135" s="20"/>
      <c r="H135" s="21"/>
      <c r="I135" s="20"/>
      <c r="J135" s="20"/>
      <c r="K135" s="21"/>
      <c r="L135" s="21"/>
      <c r="M135" s="22" t="str">
        <f aca="false">IF($B135="","",$B135+2)</f>
        <v/>
      </c>
      <c r="N135" s="20"/>
      <c r="O135" s="22" t="str">
        <f aca="false">IF($B135="","",$B135+5)</f>
        <v/>
      </c>
      <c r="P135" s="20"/>
      <c r="Q135" s="22" t="str">
        <f aca="false">IF($B135="","",$B135+10)</f>
        <v/>
      </c>
      <c r="R135" s="20"/>
      <c r="S135" s="23" t="str">
        <f aca="true">IF($B135="","",IF(AND($N135="Y",$P135="Y",$R135="Y"),"Done",IF(OR(AND($M135&lt;=TODAY(),$N135&lt;&gt;"Y"),AND($O135&lt;=TODAY(),$P135&lt;&gt;"Y"),AND($Q135&lt;=TODAY(),$R135&lt;&gt;"Y")),"DUE","Scheduled")))</f>
        <v/>
      </c>
      <c r="T135" s="20"/>
      <c r="U135" s="23" t="str">
        <f aca="false">IF($B135="","",IF(OR($T135&lt;=2,$I135="Editorial"),"REDO",""))</f>
        <v/>
      </c>
      <c r="V135" s="18" t="str">
        <f aca="false">IF($S135&lt;&gt;"DUE","",COUNTIF($S$3:$S135,"DUE"))</f>
        <v/>
      </c>
    </row>
    <row r="136" customFormat="false" ht="15" hidden="false" customHeight="false" outlineLevel="0" collapsed="false">
      <c r="A136" s="12" t="str">
        <f aca="false">IF($F136="","",ROW()-2)</f>
        <v/>
      </c>
      <c r="B136" s="19"/>
      <c r="C136" s="20"/>
      <c r="D136" s="21"/>
      <c r="E136" s="21"/>
      <c r="F136" s="21"/>
      <c r="G136" s="20"/>
      <c r="H136" s="21"/>
      <c r="I136" s="20"/>
      <c r="J136" s="20"/>
      <c r="K136" s="21"/>
      <c r="L136" s="21"/>
      <c r="M136" s="22" t="str">
        <f aca="false">IF($B136="","",$B136+2)</f>
        <v/>
      </c>
      <c r="N136" s="20"/>
      <c r="O136" s="22" t="str">
        <f aca="false">IF($B136="","",$B136+5)</f>
        <v/>
      </c>
      <c r="P136" s="20"/>
      <c r="Q136" s="22" t="str">
        <f aca="false">IF($B136="","",$B136+10)</f>
        <v/>
      </c>
      <c r="R136" s="20"/>
      <c r="S136" s="23" t="str">
        <f aca="true">IF($B136="","",IF(AND($N136="Y",$P136="Y",$R136="Y"),"Done",IF(OR(AND($M136&lt;=TODAY(),$N136&lt;&gt;"Y"),AND($O136&lt;=TODAY(),$P136&lt;&gt;"Y"),AND($Q136&lt;=TODAY(),$R136&lt;&gt;"Y")),"DUE","Scheduled")))</f>
        <v/>
      </c>
      <c r="T136" s="20"/>
      <c r="U136" s="23" t="str">
        <f aca="false">IF($B136="","",IF(OR($T136&lt;=2,$I136="Editorial"),"REDO",""))</f>
        <v/>
      </c>
      <c r="V136" s="18" t="str">
        <f aca="false">IF($S136&lt;&gt;"DUE","",COUNTIF($S$3:$S136,"DUE"))</f>
        <v/>
      </c>
    </row>
    <row r="137" customFormat="false" ht="15" hidden="false" customHeight="false" outlineLevel="0" collapsed="false">
      <c r="A137" s="12" t="str">
        <f aca="false">IF($F137="","",ROW()-2)</f>
        <v/>
      </c>
      <c r="B137" s="19"/>
      <c r="C137" s="20"/>
      <c r="D137" s="21"/>
      <c r="E137" s="21"/>
      <c r="F137" s="21"/>
      <c r="G137" s="20"/>
      <c r="H137" s="21"/>
      <c r="I137" s="20"/>
      <c r="J137" s="20"/>
      <c r="K137" s="21"/>
      <c r="L137" s="21"/>
      <c r="M137" s="22" t="str">
        <f aca="false">IF($B137="","",$B137+2)</f>
        <v/>
      </c>
      <c r="N137" s="20"/>
      <c r="O137" s="22" t="str">
        <f aca="false">IF($B137="","",$B137+5)</f>
        <v/>
      </c>
      <c r="P137" s="20"/>
      <c r="Q137" s="22" t="str">
        <f aca="false">IF($B137="","",$B137+10)</f>
        <v/>
      </c>
      <c r="R137" s="20"/>
      <c r="S137" s="23" t="str">
        <f aca="true">IF($B137="","",IF(AND($N137="Y",$P137="Y",$R137="Y"),"Done",IF(OR(AND($M137&lt;=TODAY(),$N137&lt;&gt;"Y"),AND($O137&lt;=TODAY(),$P137&lt;&gt;"Y"),AND($Q137&lt;=TODAY(),$R137&lt;&gt;"Y")),"DUE","Scheduled")))</f>
        <v/>
      </c>
      <c r="T137" s="20"/>
      <c r="U137" s="23" t="str">
        <f aca="false">IF($B137="","",IF(OR($T137&lt;=2,$I137="Editorial"),"REDO",""))</f>
        <v/>
      </c>
      <c r="V137" s="18" t="str">
        <f aca="false">IF($S137&lt;&gt;"DUE","",COUNTIF($S$3:$S137,"DUE"))</f>
        <v/>
      </c>
    </row>
    <row r="138" customFormat="false" ht="15" hidden="false" customHeight="false" outlineLevel="0" collapsed="false">
      <c r="A138" s="12" t="str">
        <f aca="false">IF($F138="","",ROW()-2)</f>
        <v/>
      </c>
      <c r="B138" s="19"/>
      <c r="C138" s="20"/>
      <c r="D138" s="21"/>
      <c r="E138" s="21"/>
      <c r="F138" s="21"/>
      <c r="G138" s="20"/>
      <c r="H138" s="21"/>
      <c r="I138" s="20"/>
      <c r="J138" s="20"/>
      <c r="K138" s="21"/>
      <c r="L138" s="21"/>
      <c r="M138" s="22" t="str">
        <f aca="false">IF($B138="","",$B138+2)</f>
        <v/>
      </c>
      <c r="N138" s="20"/>
      <c r="O138" s="22" t="str">
        <f aca="false">IF($B138="","",$B138+5)</f>
        <v/>
      </c>
      <c r="P138" s="20"/>
      <c r="Q138" s="22" t="str">
        <f aca="false">IF($B138="","",$B138+10)</f>
        <v/>
      </c>
      <c r="R138" s="20"/>
      <c r="S138" s="23" t="str">
        <f aca="true">IF($B138="","",IF(AND($N138="Y",$P138="Y",$R138="Y"),"Done",IF(OR(AND($M138&lt;=TODAY(),$N138&lt;&gt;"Y"),AND($O138&lt;=TODAY(),$P138&lt;&gt;"Y"),AND($Q138&lt;=TODAY(),$R138&lt;&gt;"Y")),"DUE","Scheduled")))</f>
        <v/>
      </c>
      <c r="T138" s="20"/>
      <c r="U138" s="23" t="str">
        <f aca="false">IF($B138="","",IF(OR($T138&lt;=2,$I138="Editorial"),"REDO",""))</f>
        <v/>
      </c>
      <c r="V138" s="18" t="str">
        <f aca="false">IF($S138&lt;&gt;"DUE","",COUNTIF($S$3:$S138,"DUE"))</f>
        <v/>
      </c>
    </row>
    <row r="139" customFormat="false" ht="15" hidden="false" customHeight="false" outlineLevel="0" collapsed="false">
      <c r="A139" s="12" t="str">
        <f aca="false">IF($F139="","",ROW()-2)</f>
        <v/>
      </c>
      <c r="B139" s="19"/>
      <c r="C139" s="20"/>
      <c r="D139" s="21"/>
      <c r="E139" s="21"/>
      <c r="F139" s="21"/>
      <c r="G139" s="20"/>
      <c r="H139" s="21"/>
      <c r="I139" s="20"/>
      <c r="J139" s="20"/>
      <c r="K139" s="21"/>
      <c r="L139" s="21"/>
      <c r="M139" s="22" t="str">
        <f aca="false">IF($B139="","",$B139+2)</f>
        <v/>
      </c>
      <c r="N139" s="20"/>
      <c r="O139" s="22" t="str">
        <f aca="false">IF($B139="","",$B139+5)</f>
        <v/>
      </c>
      <c r="P139" s="20"/>
      <c r="Q139" s="22" t="str">
        <f aca="false">IF($B139="","",$B139+10)</f>
        <v/>
      </c>
      <c r="R139" s="20"/>
      <c r="S139" s="23" t="str">
        <f aca="true">IF($B139="","",IF(AND($N139="Y",$P139="Y",$R139="Y"),"Done",IF(OR(AND($M139&lt;=TODAY(),$N139&lt;&gt;"Y"),AND($O139&lt;=TODAY(),$P139&lt;&gt;"Y"),AND($Q139&lt;=TODAY(),$R139&lt;&gt;"Y")),"DUE","Scheduled")))</f>
        <v/>
      </c>
      <c r="T139" s="20"/>
      <c r="U139" s="23" t="str">
        <f aca="false">IF($B139="","",IF(OR($T139&lt;=2,$I139="Editorial"),"REDO",""))</f>
        <v/>
      </c>
      <c r="V139" s="18" t="str">
        <f aca="false">IF($S139&lt;&gt;"DUE","",COUNTIF($S$3:$S139,"DUE"))</f>
        <v/>
      </c>
    </row>
    <row r="140" customFormat="false" ht="15" hidden="false" customHeight="false" outlineLevel="0" collapsed="false">
      <c r="A140" s="12" t="str">
        <f aca="false">IF($F140="","",ROW()-2)</f>
        <v/>
      </c>
      <c r="B140" s="19"/>
      <c r="C140" s="20"/>
      <c r="D140" s="21"/>
      <c r="E140" s="21"/>
      <c r="F140" s="21"/>
      <c r="G140" s="20"/>
      <c r="H140" s="21"/>
      <c r="I140" s="20"/>
      <c r="J140" s="20"/>
      <c r="K140" s="21"/>
      <c r="L140" s="21"/>
      <c r="M140" s="22" t="str">
        <f aca="false">IF($B140="","",$B140+2)</f>
        <v/>
      </c>
      <c r="N140" s="20"/>
      <c r="O140" s="22" t="str">
        <f aca="false">IF($B140="","",$B140+5)</f>
        <v/>
      </c>
      <c r="P140" s="20"/>
      <c r="Q140" s="22" t="str">
        <f aca="false">IF($B140="","",$B140+10)</f>
        <v/>
      </c>
      <c r="R140" s="20"/>
      <c r="S140" s="23" t="str">
        <f aca="true">IF($B140="","",IF(AND($N140="Y",$P140="Y",$R140="Y"),"Done",IF(OR(AND($M140&lt;=TODAY(),$N140&lt;&gt;"Y"),AND($O140&lt;=TODAY(),$P140&lt;&gt;"Y"),AND($Q140&lt;=TODAY(),$R140&lt;&gt;"Y")),"DUE","Scheduled")))</f>
        <v/>
      </c>
      <c r="T140" s="20"/>
      <c r="U140" s="23" t="str">
        <f aca="false">IF($B140="","",IF(OR($T140&lt;=2,$I140="Editorial"),"REDO",""))</f>
        <v/>
      </c>
      <c r="V140" s="18" t="str">
        <f aca="false">IF($S140&lt;&gt;"DUE","",COUNTIF($S$3:$S140,"DUE"))</f>
        <v/>
      </c>
    </row>
    <row r="141" customFormat="false" ht="15" hidden="false" customHeight="false" outlineLevel="0" collapsed="false">
      <c r="A141" s="12" t="str">
        <f aca="false">IF($F141="","",ROW()-2)</f>
        <v/>
      </c>
      <c r="B141" s="19"/>
      <c r="C141" s="20"/>
      <c r="D141" s="21"/>
      <c r="E141" s="21"/>
      <c r="F141" s="21"/>
      <c r="G141" s="20"/>
      <c r="H141" s="21"/>
      <c r="I141" s="20"/>
      <c r="J141" s="20"/>
      <c r="K141" s="21"/>
      <c r="L141" s="21"/>
      <c r="M141" s="22" t="str">
        <f aca="false">IF($B141="","",$B141+2)</f>
        <v/>
      </c>
      <c r="N141" s="20"/>
      <c r="O141" s="22" t="str">
        <f aca="false">IF($B141="","",$B141+5)</f>
        <v/>
      </c>
      <c r="P141" s="20"/>
      <c r="Q141" s="22" t="str">
        <f aca="false">IF($B141="","",$B141+10)</f>
        <v/>
      </c>
      <c r="R141" s="20"/>
      <c r="S141" s="23" t="str">
        <f aca="true">IF($B141="","",IF(AND($N141="Y",$P141="Y",$R141="Y"),"Done",IF(OR(AND($M141&lt;=TODAY(),$N141&lt;&gt;"Y"),AND($O141&lt;=TODAY(),$P141&lt;&gt;"Y"),AND($Q141&lt;=TODAY(),$R141&lt;&gt;"Y")),"DUE","Scheduled")))</f>
        <v/>
      </c>
      <c r="T141" s="20"/>
      <c r="U141" s="23" t="str">
        <f aca="false">IF($B141="","",IF(OR($T141&lt;=2,$I141="Editorial"),"REDO",""))</f>
        <v/>
      </c>
      <c r="V141" s="18" t="str">
        <f aca="false">IF($S141&lt;&gt;"DUE","",COUNTIF($S$3:$S141,"DUE"))</f>
        <v/>
      </c>
    </row>
    <row r="142" customFormat="false" ht="15" hidden="false" customHeight="false" outlineLevel="0" collapsed="false">
      <c r="A142" s="12" t="str">
        <f aca="false">IF($F142="","",ROW()-2)</f>
        <v/>
      </c>
      <c r="B142" s="19"/>
      <c r="C142" s="20"/>
      <c r="D142" s="21"/>
      <c r="E142" s="21"/>
      <c r="F142" s="21"/>
      <c r="G142" s="20"/>
      <c r="H142" s="21"/>
      <c r="I142" s="20"/>
      <c r="J142" s="20"/>
      <c r="K142" s="21"/>
      <c r="L142" s="21"/>
      <c r="M142" s="22" t="str">
        <f aca="false">IF($B142="","",$B142+2)</f>
        <v/>
      </c>
      <c r="N142" s="20"/>
      <c r="O142" s="22" t="str">
        <f aca="false">IF($B142="","",$B142+5)</f>
        <v/>
      </c>
      <c r="P142" s="20"/>
      <c r="Q142" s="22" t="str">
        <f aca="false">IF($B142="","",$B142+10)</f>
        <v/>
      </c>
      <c r="R142" s="20"/>
      <c r="S142" s="23" t="str">
        <f aca="true">IF($B142="","",IF(AND($N142="Y",$P142="Y",$R142="Y"),"Done",IF(OR(AND($M142&lt;=TODAY(),$N142&lt;&gt;"Y"),AND($O142&lt;=TODAY(),$P142&lt;&gt;"Y"),AND($Q142&lt;=TODAY(),$R142&lt;&gt;"Y")),"DUE","Scheduled")))</f>
        <v/>
      </c>
      <c r="T142" s="20"/>
      <c r="U142" s="23" t="str">
        <f aca="false">IF($B142="","",IF(OR($T142&lt;=2,$I142="Editorial"),"REDO",""))</f>
        <v/>
      </c>
      <c r="V142" s="18" t="str">
        <f aca="false">IF($S142&lt;&gt;"DUE","",COUNTIF($S$3:$S142,"DUE"))</f>
        <v/>
      </c>
    </row>
    <row r="143" customFormat="false" ht="15" hidden="false" customHeight="false" outlineLevel="0" collapsed="false">
      <c r="A143" s="12" t="str">
        <f aca="false">IF($F143="","",ROW()-2)</f>
        <v/>
      </c>
      <c r="B143" s="19"/>
      <c r="C143" s="20"/>
      <c r="D143" s="21"/>
      <c r="E143" s="21"/>
      <c r="F143" s="21"/>
      <c r="G143" s="20"/>
      <c r="H143" s="21"/>
      <c r="I143" s="20"/>
      <c r="J143" s="20"/>
      <c r="K143" s="21"/>
      <c r="L143" s="21"/>
      <c r="M143" s="22" t="str">
        <f aca="false">IF($B143="","",$B143+2)</f>
        <v/>
      </c>
      <c r="N143" s="20"/>
      <c r="O143" s="22" t="str">
        <f aca="false">IF($B143="","",$B143+5)</f>
        <v/>
      </c>
      <c r="P143" s="20"/>
      <c r="Q143" s="22" t="str">
        <f aca="false">IF($B143="","",$B143+10)</f>
        <v/>
      </c>
      <c r="R143" s="20"/>
      <c r="S143" s="23" t="str">
        <f aca="true">IF($B143="","",IF(AND($N143="Y",$P143="Y",$R143="Y"),"Done",IF(OR(AND($M143&lt;=TODAY(),$N143&lt;&gt;"Y"),AND($O143&lt;=TODAY(),$P143&lt;&gt;"Y"),AND($Q143&lt;=TODAY(),$R143&lt;&gt;"Y")),"DUE","Scheduled")))</f>
        <v/>
      </c>
      <c r="T143" s="20"/>
      <c r="U143" s="23" t="str">
        <f aca="false">IF($B143="","",IF(OR($T143&lt;=2,$I143="Editorial"),"REDO",""))</f>
        <v/>
      </c>
      <c r="V143" s="18" t="str">
        <f aca="false">IF($S143&lt;&gt;"DUE","",COUNTIF($S$3:$S143,"DUE"))</f>
        <v/>
      </c>
    </row>
    <row r="144" customFormat="false" ht="15" hidden="false" customHeight="false" outlineLevel="0" collapsed="false">
      <c r="A144" s="12" t="str">
        <f aca="false">IF($F144="","",ROW()-2)</f>
        <v/>
      </c>
      <c r="B144" s="19"/>
      <c r="C144" s="20"/>
      <c r="D144" s="21"/>
      <c r="E144" s="21"/>
      <c r="F144" s="21"/>
      <c r="G144" s="20"/>
      <c r="H144" s="21"/>
      <c r="I144" s="20"/>
      <c r="J144" s="20"/>
      <c r="K144" s="21"/>
      <c r="L144" s="21"/>
      <c r="M144" s="22" t="str">
        <f aca="false">IF($B144="","",$B144+2)</f>
        <v/>
      </c>
      <c r="N144" s="20"/>
      <c r="O144" s="22" t="str">
        <f aca="false">IF($B144="","",$B144+5)</f>
        <v/>
      </c>
      <c r="P144" s="20"/>
      <c r="Q144" s="22" t="str">
        <f aca="false">IF($B144="","",$B144+10)</f>
        <v/>
      </c>
      <c r="R144" s="20"/>
      <c r="S144" s="23" t="str">
        <f aca="true">IF($B144="","",IF(AND($N144="Y",$P144="Y",$R144="Y"),"Done",IF(OR(AND($M144&lt;=TODAY(),$N144&lt;&gt;"Y"),AND($O144&lt;=TODAY(),$P144&lt;&gt;"Y"),AND($Q144&lt;=TODAY(),$R144&lt;&gt;"Y")),"DUE","Scheduled")))</f>
        <v/>
      </c>
      <c r="T144" s="20"/>
      <c r="U144" s="23" t="str">
        <f aca="false">IF($B144="","",IF(OR($T144&lt;=2,$I144="Editorial"),"REDO",""))</f>
        <v/>
      </c>
      <c r="V144" s="18" t="str">
        <f aca="false">IF($S144&lt;&gt;"DUE","",COUNTIF($S$3:$S144,"DUE"))</f>
        <v/>
      </c>
    </row>
    <row r="145" customFormat="false" ht="15" hidden="false" customHeight="false" outlineLevel="0" collapsed="false">
      <c r="A145" s="12" t="str">
        <f aca="false">IF($F145="","",ROW()-2)</f>
        <v/>
      </c>
      <c r="B145" s="19"/>
      <c r="C145" s="20"/>
      <c r="D145" s="21"/>
      <c r="E145" s="21"/>
      <c r="F145" s="21"/>
      <c r="G145" s="20"/>
      <c r="H145" s="21"/>
      <c r="I145" s="20"/>
      <c r="J145" s="20"/>
      <c r="K145" s="21"/>
      <c r="L145" s="21"/>
      <c r="M145" s="22" t="str">
        <f aca="false">IF($B145="","",$B145+2)</f>
        <v/>
      </c>
      <c r="N145" s="20"/>
      <c r="O145" s="22" t="str">
        <f aca="false">IF($B145="","",$B145+5)</f>
        <v/>
      </c>
      <c r="P145" s="20"/>
      <c r="Q145" s="22" t="str">
        <f aca="false">IF($B145="","",$B145+10)</f>
        <v/>
      </c>
      <c r="R145" s="20"/>
      <c r="S145" s="23" t="str">
        <f aca="true">IF($B145="","",IF(AND($N145="Y",$P145="Y",$R145="Y"),"Done",IF(OR(AND($M145&lt;=TODAY(),$N145&lt;&gt;"Y"),AND($O145&lt;=TODAY(),$P145&lt;&gt;"Y"),AND($Q145&lt;=TODAY(),$R145&lt;&gt;"Y")),"DUE","Scheduled")))</f>
        <v/>
      </c>
      <c r="T145" s="20"/>
      <c r="U145" s="23" t="str">
        <f aca="false">IF($B145="","",IF(OR($T145&lt;=2,$I145="Editorial"),"REDO",""))</f>
        <v/>
      </c>
      <c r="V145" s="18" t="str">
        <f aca="false">IF($S145&lt;&gt;"DUE","",COUNTIF($S$3:$S145,"DUE"))</f>
        <v/>
      </c>
    </row>
    <row r="146" customFormat="false" ht="15" hidden="false" customHeight="false" outlineLevel="0" collapsed="false">
      <c r="A146" s="12" t="str">
        <f aca="false">IF($F146="","",ROW()-2)</f>
        <v/>
      </c>
      <c r="B146" s="19"/>
      <c r="C146" s="20"/>
      <c r="D146" s="21"/>
      <c r="E146" s="21"/>
      <c r="F146" s="21"/>
      <c r="G146" s="20"/>
      <c r="H146" s="21"/>
      <c r="I146" s="20"/>
      <c r="J146" s="20"/>
      <c r="K146" s="21"/>
      <c r="L146" s="21"/>
      <c r="M146" s="22" t="str">
        <f aca="false">IF($B146="","",$B146+2)</f>
        <v/>
      </c>
      <c r="N146" s="20"/>
      <c r="O146" s="22" t="str">
        <f aca="false">IF($B146="","",$B146+5)</f>
        <v/>
      </c>
      <c r="P146" s="20"/>
      <c r="Q146" s="22" t="str">
        <f aca="false">IF($B146="","",$B146+10)</f>
        <v/>
      </c>
      <c r="R146" s="20"/>
      <c r="S146" s="23" t="str">
        <f aca="true">IF($B146="","",IF(AND($N146="Y",$P146="Y",$R146="Y"),"Done",IF(OR(AND($M146&lt;=TODAY(),$N146&lt;&gt;"Y"),AND($O146&lt;=TODAY(),$P146&lt;&gt;"Y"),AND($Q146&lt;=TODAY(),$R146&lt;&gt;"Y")),"DUE","Scheduled")))</f>
        <v/>
      </c>
      <c r="T146" s="20"/>
      <c r="U146" s="23" t="str">
        <f aca="false">IF($B146="","",IF(OR($T146&lt;=2,$I146="Editorial"),"REDO",""))</f>
        <v/>
      </c>
      <c r="V146" s="18" t="str">
        <f aca="false">IF($S146&lt;&gt;"DUE","",COUNTIF($S$3:$S146,"DUE"))</f>
        <v/>
      </c>
    </row>
    <row r="147" customFormat="false" ht="15" hidden="false" customHeight="false" outlineLevel="0" collapsed="false">
      <c r="A147" s="12" t="str">
        <f aca="false">IF($F147="","",ROW()-2)</f>
        <v/>
      </c>
      <c r="B147" s="19"/>
      <c r="C147" s="20"/>
      <c r="D147" s="21"/>
      <c r="E147" s="21"/>
      <c r="F147" s="21"/>
      <c r="G147" s="20"/>
      <c r="H147" s="21"/>
      <c r="I147" s="20"/>
      <c r="J147" s="20"/>
      <c r="K147" s="21"/>
      <c r="L147" s="21"/>
      <c r="M147" s="22" t="str">
        <f aca="false">IF($B147="","",$B147+2)</f>
        <v/>
      </c>
      <c r="N147" s="20"/>
      <c r="O147" s="22" t="str">
        <f aca="false">IF($B147="","",$B147+5)</f>
        <v/>
      </c>
      <c r="P147" s="20"/>
      <c r="Q147" s="22" t="str">
        <f aca="false">IF($B147="","",$B147+10)</f>
        <v/>
      </c>
      <c r="R147" s="20"/>
      <c r="S147" s="23" t="str">
        <f aca="true">IF($B147="","",IF(AND($N147="Y",$P147="Y",$R147="Y"),"Done",IF(OR(AND($M147&lt;=TODAY(),$N147&lt;&gt;"Y"),AND($O147&lt;=TODAY(),$P147&lt;&gt;"Y"),AND($Q147&lt;=TODAY(),$R147&lt;&gt;"Y")),"DUE","Scheduled")))</f>
        <v/>
      </c>
      <c r="T147" s="20"/>
      <c r="U147" s="23" t="str">
        <f aca="false">IF($B147="","",IF(OR($T147&lt;=2,$I147="Editorial"),"REDO",""))</f>
        <v/>
      </c>
      <c r="V147" s="18" t="str">
        <f aca="false">IF($S147&lt;&gt;"DUE","",COUNTIF($S$3:$S147,"DUE"))</f>
        <v/>
      </c>
    </row>
    <row r="148" customFormat="false" ht="15" hidden="false" customHeight="false" outlineLevel="0" collapsed="false">
      <c r="A148" s="12" t="str">
        <f aca="false">IF($F148="","",ROW()-2)</f>
        <v/>
      </c>
      <c r="B148" s="19"/>
      <c r="C148" s="20"/>
      <c r="D148" s="21"/>
      <c r="E148" s="21"/>
      <c r="F148" s="21"/>
      <c r="G148" s="20"/>
      <c r="H148" s="21"/>
      <c r="I148" s="20"/>
      <c r="J148" s="20"/>
      <c r="K148" s="21"/>
      <c r="L148" s="21"/>
      <c r="M148" s="22" t="str">
        <f aca="false">IF($B148="","",$B148+2)</f>
        <v/>
      </c>
      <c r="N148" s="20"/>
      <c r="O148" s="22" t="str">
        <f aca="false">IF($B148="","",$B148+5)</f>
        <v/>
      </c>
      <c r="P148" s="20"/>
      <c r="Q148" s="22" t="str">
        <f aca="false">IF($B148="","",$B148+10)</f>
        <v/>
      </c>
      <c r="R148" s="20"/>
      <c r="S148" s="23" t="str">
        <f aca="true">IF($B148="","",IF(AND($N148="Y",$P148="Y",$R148="Y"),"Done",IF(OR(AND($M148&lt;=TODAY(),$N148&lt;&gt;"Y"),AND($O148&lt;=TODAY(),$P148&lt;&gt;"Y"),AND($Q148&lt;=TODAY(),$R148&lt;&gt;"Y")),"DUE","Scheduled")))</f>
        <v/>
      </c>
      <c r="T148" s="20"/>
      <c r="U148" s="23" t="str">
        <f aca="false">IF($B148="","",IF(OR($T148&lt;=2,$I148="Editorial"),"REDO",""))</f>
        <v/>
      </c>
      <c r="V148" s="18" t="str">
        <f aca="false">IF($S148&lt;&gt;"DUE","",COUNTIF($S$3:$S148,"DUE"))</f>
        <v/>
      </c>
    </row>
    <row r="149" customFormat="false" ht="15" hidden="false" customHeight="false" outlineLevel="0" collapsed="false">
      <c r="A149" s="12" t="str">
        <f aca="false">IF($F149="","",ROW()-2)</f>
        <v/>
      </c>
      <c r="B149" s="19"/>
      <c r="C149" s="20"/>
      <c r="D149" s="21"/>
      <c r="E149" s="21"/>
      <c r="F149" s="21"/>
      <c r="G149" s="20"/>
      <c r="H149" s="21"/>
      <c r="I149" s="20"/>
      <c r="J149" s="20"/>
      <c r="K149" s="21"/>
      <c r="L149" s="21"/>
      <c r="M149" s="22" t="str">
        <f aca="false">IF($B149="","",$B149+2)</f>
        <v/>
      </c>
      <c r="N149" s="20"/>
      <c r="O149" s="22" t="str">
        <f aca="false">IF($B149="","",$B149+5)</f>
        <v/>
      </c>
      <c r="P149" s="20"/>
      <c r="Q149" s="22" t="str">
        <f aca="false">IF($B149="","",$B149+10)</f>
        <v/>
      </c>
      <c r="R149" s="20"/>
      <c r="S149" s="23" t="str">
        <f aca="true">IF($B149="","",IF(AND($N149="Y",$P149="Y",$R149="Y"),"Done",IF(OR(AND($M149&lt;=TODAY(),$N149&lt;&gt;"Y"),AND($O149&lt;=TODAY(),$P149&lt;&gt;"Y"),AND($Q149&lt;=TODAY(),$R149&lt;&gt;"Y")),"DUE","Scheduled")))</f>
        <v/>
      </c>
      <c r="T149" s="20"/>
      <c r="U149" s="23" t="str">
        <f aca="false">IF($B149="","",IF(OR($T149&lt;=2,$I149="Editorial"),"REDO",""))</f>
        <v/>
      </c>
      <c r="V149" s="18" t="str">
        <f aca="false">IF($S149&lt;&gt;"DUE","",COUNTIF($S$3:$S149,"DUE"))</f>
        <v/>
      </c>
    </row>
    <row r="150" customFormat="false" ht="15" hidden="false" customHeight="false" outlineLevel="0" collapsed="false">
      <c r="A150" s="12" t="str">
        <f aca="false">IF($F150="","",ROW()-2)</f>
        <v/>
      </c>
      <c r="B150" s="19"/>
      <c r="C150" s="20"/>
      <c r="D150" s="21"/>
      <c r="E150" s="21"/>
      <c r="F150" s="21"/>
      <c r="G150" s="20"/>
      <c r="H150" s="21"/>
      <c r="I150" s="20"/>
      <c r="J150" s="20"/>
      <c r="K150" s="21"/>
      <c r="L150" s="21"/>
      <c r="M150" s="22" t="str">
        <f aca="false">IF($B150="","",$B150+2)</f>
        <v/>
      </c>
      <c r="N150" s="20"/>
      <c r="O150" s="22" t="str">
        <f aca="false">IF($B150="","",$B150+5)</f>
        <v/>
      </c>
      <c r="P150" s="20"/>
      <c r="Q150" s="22" t="str">
        <f aca="false">IF($B150="","",$B150+10)</f>
        <v/>
      </c>
      <c r="R150" s="20"/>
      <c r="S150" s="23" t="str">
        <f aca="true">IF($B150="","",IF(AND($N150="Y",$P150="Y",$R150="Y"),"Done",IF(OR(AND($M150&lt;=TODAY(),$N150&lt;&gt;"Y"),AND($O150&lt;=TODAY(),$P150&lt;&gt;"Y"),AND($Q150&lt;=TODAY(),$R150&lt;&gt;"Y")),"DUE","Scheduled")))</f>
        <v/>
      </c>
      <c r="T150" s="20"/>
      <c r="U150" s="23" t="str">
        <f aca="false">IF($B150="","",IF(OR($T150&lt;=2,$I150="Editorial"),"REDO",""))</f>
        <v/>
      </c>
      <c r="V150" s="18" t="str">
        <f aca="false">IF($S150&lt;&gt;"DUE","",COUNTIF($S$3:$S150,"DUE"))</f>
        <v/>
      </c>
    </row>
    <row r="151" customFormat="false" ht="15" hidden="false" customHeight="false" outlineLevel="0" collapsed="false">
      <c r="A151" s="12" t="str">
        <f aca="false">IF($F151="","",ROW()-2)</f>
        <v/>
      </c>
      <c r="B151" s="19"/>
      <c r="C151" s="20"/>
      <c r="D151" s="21"/>
      <c r="E151" s="21"/>
      <c r="F151" s="21"/>
      <c r="G151" s="20"/>
      <c r="H151" s="21"/>
      <c r="I151" s="20"/>
      <c r="J151" s="20"/>
      <c r="K151" s="21"/>
      <c r="L151" s="21"/>
      <c r="M151" s="22" t="str">
        <f aca="false">IF($B151="","",$B151+2)</f>
        <v/>
      </c>
      <c r="N151" s="20"/>
      <c r="O151" s="22" t="str">
        <f aca="false">IF($B151="","",$B151+5)</f>
        <v/>
      </c>
      <c r="P151" s="20"/>
      <c r="Q151" s="22" t="str">
        <f aca="false">IF($B151="","",$B151+10)</f>
        <v/>
      </c>
      <c r="R151" s="20"/>
      <c r="S151" s="23" t="str">
        <f aca="true">IF($B151="","",IF(AND($N151="Y",$P151="Y",$R151="Y"),"Done",IF(OR(AND($M151&lt;=TODAY(),$N151&lt;&gt;"Y"),AND($O151&lt;=TODAY(),$P151&lt;&gt;"Y"),AND($Q151&lt;=TODAY(),$R151&lt;&gt;"Y")),"DUE","Scheduled")))</f>
        <v/>
      </c>
      <c r="T151" s="20"/>
      <c r="U151" s="23" t="str">
        <f aca="false">IF($B151="","",IF(OR($T151&lt;=2,$I151="Editorial"),"REDO",""))</f>
        <v/>
      </c>
      <c r="V151" s="18" t="str">
        <f aca="false">IF($S151&lt;&gt;"DUE","",COUNTIF($S$3:$S151,"DUE"))</f>
        <v/>
      </c>
    </row>
    <row r="152" customFormat="false" ht="15" hidden="false" customHeight="false" outlineLevel="0" collapsed="false">
      <c r="A152" s="12" t="str">
        <f aca="false">IF($F152="","",ROW()-2)</f>
        <v/>
      </c>
      <c r="B152" s="19"/>
      <c r="C152" s="20"/>
      <c r="D152" s="21"/>
      <c r="E152" s="21"/>
      <c r="F152" s="21"/>
      <c r="G152" s="20"/>
      <c r="H152" s="21"/>
      <c r="I152" s="20"/>
      <c r="J152" s="20"/>
      <c r="K152" s="21"/>
      <c r="L152" s="21"/>
      <c r="M152" s="22" t="str">
        <f aca="false">IF($B152="","",$B152+2)</f>
        <v/>
      </c>
      <c r="N152" s="20"/>
      <c r="O152" s="22" t="str">
        <f aca="false">IF($B152="","",$B152+5)</f>
        <v/>
      </c>
      <c r="P152" s="20"/>
      <c r="Q152" s="22" t="str">
        <f aca="false">IF($B152="","",$B152+10)</f>
        <v/>
      </c>
      <c r="R152" s="20"/>
      <c r="S152" s="23" t="str">
        <f aca="true">IF($B152="","",IF(AND($N152="Y",$P152="Y",$R152="Y"),"Done",IF(OR(AND($M152&lt;=TODAY(),$N152&lt;&gt;"Y"),AND($O152&lt;=TODAY(),$P152&lt;&gt;"Y"),AND($Q152&lt;=TODAY(),$R152&lt;&gt;"Y")),"DUE","Scheduled")))</f>
        <v/>
      </c>
      <c r="T152" s="20"/>
      <c r="U152" s="23" t="str">
        <f aca="false">IF($B152="","",IF(OR($T152&lt;=2,$I152="Editorial"),"REDO",""))</f>
        <v/>
      </c>
      <c r="V152" s="18" t="str">
        <f aca="false">IF($S152&lt;&gt;"DUE","",COUNTIF($S$3:$S152,"DUE"))</f>
        <v/>
      </c>
    </row>
    <row r="153" customFormat="false" ht="15" hidden="false" customHeight="false" outlineLevel="0" collapsed="false">
      <c r="A153" s="12" t="str">
        <f aca="false">IF($F153="","",ROW()-2)</f>
        <v/>
      </c>
      <c r="B153" s="19"/>
      <c r="C153" s="20"/>
      <c r="D153" s="21"/>
      <c r="E153" s="21"/>
      <c r="F153" s="21"/>
      <c r="G153" s="20"/>
      <c r="H153" s="21"/>
      <c r="I153" s="20"/>
      <c r="J153" s="20"/>
      <c r="K153" s="21"/>
      <c r="L153" s="21"/>
      <c r="M153" s="22" t="str">
        <f aca="false">IF($B153="","",$B153+2)</f>
        <v/>
      </c>
      <c r="N153" s="20"/>
      <c r="O153" s="22" t="str">
        <f aca="false">IF($B153="","",$B153+5)</f>
        <v/>
      </c>
      <c r="P153" s="20"/>
      <c r="Q153" s="22" t="str">
        <f aca="false">IF($B153="","",$B153+10)</f>
        <v/>
      </c>
      <c r="R153" s="20"/>
      <c r="S153" s="23" t="str">
        <f aca="true">IF($B153="","",IF(AND($N153="Y",$P153="Y",$R153="Y"),"Done",IF(OR(AND($M153&lt;=TODAY(),$N153&lt;&gt;"Y"),AND($O153&lt;=TODAY(),$P153&lt;&gt;"Y"),AND($Q153&lt;=TODAY(),$R153&lt;&gt;"Y")),"DUE","Scheduled")))</f>
        <v/>
      </c>
      <c r="T153" s="20"/>
      <c r="U153" s="23" t="str">
        <f aca="false">IF($B153="","",IF(OR($T153&lt;=2,$I153="Editorial"),"REDO",""))</f>
        <v/>
      </c>
      <c r="V153" s="18" t="str">
        <f aca="false">IF($S153&lt;&gt;"DUE","",COUNTIF($S$3:$S153,"DUE"))</f>
        <v/>
      </c>
    </row>
    <row r="154" customFormat="false" ht="15" hidden="false" customHeight="false" outlineLevel="0" collapsed="false">
      <c r="A154" s="12" t="str">
        <f aca="false">IF($F154="","",ROW()-2)</f>
        <v/>
      </c>
      <c r="B154" s="19"/>
      <c r="C154" s="20"/>
      <c r="D154" s="21"/>
      <c r="E154" s="21"/>
      <c r="F154" s="21"/>
      <c r="G154" s="20"/>
      <c r="H154" s="21"/>
      <c r="I154" s="20"/>
      <c r="J154" s="20"/>
      <c r="K154" s="21"/>
      <c r="L154" s="21"/>
      <c r="M154" s="22" t="str">
        <f aca="false">IF($B154="","",$B154+2)</f>
        <v/>
      </c>
      <c r="N154" s="20"/>
      <c r="O154" s="22" t="str">
        <f aca="false">IF($B154="","",$B154+5)</f>
        <v/>
      </c>
      <c r="P154" s="20"/>
      <c r="Q154" s="22" t="str">
        <f aca="false">IF($B154="","",$B154+10)</f>
        <v/>
      </c>
      <c r="R154" s="20"/>
      <c r="S154" s="23" t="str">
        <f aca="true">IF($B154="","",IF(AND($N154="Y",$P154="Y",$R154="Y"),"Done",IF(OR(AND($M154&lt;=TODAY(),$N154&lt;&gt;"Y"),AND($O154&lt;=TODAY(),$P154&lt;&gt;"Y"),AND($Q154&lt;=TODAY(),$R154&lt;&gt;"Y")),"DUE","Scheduled")))</f>
        <v/>
      </c>
      <c r="T154" s="20"/>
      <c r="U154" s="23" t="str">
        <f aca="false">IF($B154="","",IF(OR($T154&lt;=2,$I154="Editorial"),"REDO",""))</f>
        <v/>
      </c>
      <c r="V154" s="18" t="str">
        <f aca="false">IF($S154&lt;&gt;"DUE","",COUNTIF($S$3:$S154,"DUE"))</f>
        <v/>
      </c>
    </row>
    <row r="155" customFormat="false" ht="15" hidden="false" customHeight="false" outlineLevel="0" collapsed="false">
      <c r="A155" s="12" t="str">
        <f aca="false">IF($F155="","",ROW()-2)</f>
        <v/>
      </c>
      <c r="B155" s="19"/>
      <c r="C155" s="20"/>
      <c r="D155" s="21"/>
      <c r="E155" s="21"/>
      <c r="F155" s="21"/>
      <c r="G155" s="20"/>
      <c r="H155" s="21"/>
      <c r="I155" s="20"/>
      <c r="J155" s="20"/>
      <c r="K155" s="21"/>
      <c r="L155" s="21"/>
      <c r="M155" s="22" t="str">
        <f aca="false">IF($B155="","",$B155+2)</f>
        <v/>
      </c>
      <c r="N155" s="20"/>
      <c r="O155" s="22" t="str">
        <f aca="false">IF($B155="","",$B155+5)</f>
        <v/>
      </c>
      <c r="P155" s="20"/>
      <c r="Q155" s="22" t="str">
        <f aca="false">IF($B155="","",$B155+10)</f>
        <v/>
      </c>
      <c r="R155" s="20"/>
      <c r="S155" s="23" t="str">
        <f aca="true">IF($B155="","",IF(AND($N155="Y",$P155="Y",$R155="Y"),"Done",IF(OR(AND($M155&lt;=TODAY(),$N155&lt;&gt;"Y"),AND($O155&lt;=TODAY(),$P155&lt;&gt;"Y"),AND($Q155&lt;=TODAY(),$R155&lt;&gt;"Y")),"DUE","Scheduled")))</f>
        <v/>
      </c>
      <c r="T155" s="20"/>
      <c r="U155" s="23" t="str">
        <f aca="false">IF($B155="","",IF(OR($T155&lt;=2,$I155="Editorial"),"REDO",""))</f>
        <v/>
      </c>
      <c r="V155" s="18" t="str">
        <f aca="false">IF($S155&lt;&gt;"DUE","",COUNTIF($S$3:$S155,"DUE"))</f>
        <v/>
      </c>
    </row>
    <row r="156" customFormat="false" ht="15" hidden="false" customHeight="false" outlineLevel="0" collapsed="false">
      <c r="A156" s="12" t="str">
        <f aca="false">IF($F156="","",ROW()-2)</f>
        <v/>
      </c>
      <c r="B156" s="19"/>
      <c r="C156" s="20"/>
      <c r="D156" s="21"/>
      <c r="E156" s="21"/>
      <c r="F156" s="21"/>
      <c r="G156" s="20"/>
      <c r="H156" s="21"/>
      <c r="I156" s="20"/>
      <c r="J156" s="20"/>
      <c r="K156" s="21"/>
      <c r="L156" s="21"/>
      <c r="M156" s="22" t="str">
        <f aca="false">IF($B156="","",$B156+2)</f>
        <v/>
      </c>
      <c r="N156" s="20"/>
      <c r="O156" s="22" t="str">
        <f aca="false">IF($B156="","",$B156+5)</f>
        <v/>
      </c>
      <c r="P156" s="20"/>
      <c r="Q156" s="22" t="str">
        <f aca="false">IF($B156="","",$B156+10)</f>
        <v/>
      </c>
      <c r="R156" s="20"/>
      <c r="S156" s="23" t="str">
        <f aca="true">IF($B156="","",IF(AND($N156="Y",$P156="Y",$R156="Y"),"Done",IF(OR(AND($M156&lt;=TODAY(),$N156&lt;&gt;"Y"),AND($O156&lt;=TODAY(),$P156&lt;&gt;"Y"),AND($Q156&lt;=TODAY(),$R156&lt;&gt;"Y")),"DUE","Scheduled")))</f>
        <v/>
      </c>
      <c r="T156" s="20"/>
      <c r="U156" s="23" t="str">
        <f aca="false">IF($B156="","",IF(OR($T156&lt;=2,$I156="Editorial"),"REDO",""))</f>
        <v/>
      </c>
      <c r="V156" s="18" t="str">
        <f aca="false">IF($S156&lt;&gt;"DUE","",COUNTIF($S$3:$S156,"DUE"))</f>
        <v/>
      </c>
    </row>
    <row r="157" customFormat="false" ht="15" hidden="false" customHeight="false" outlineLevel="0" collapsed="false">
      <c r="A157" s="12" t="str">
        <f aca="false">IF($F157="","",ROW()-2)</f>
        <v/>
      </c>
      <c r="B157" s="19"/>
      <c r="C157" s="20"/>
      <c r="D157" s="21"/>
      <c r="E157" s="21"/>
      <c r="F157" s="21"/>
      <c r="G157" s="20"/>
      <c r="H157" s="21"/>
      <c r="I157" s="20"/>
      <c r="J157" s="20"/>
      <c r="K157" s="21"/>
      <c r="L157" s="21"/>
      <c r="M157" s="22" t="str">
        <f aca="false">IF($B157="","",$B157+2)</f>
        <v/>
      </c>
      <c r="N157" s="20"/>
      <c r="O157" s="22" t="str">
        <f aca="false">IF($B157="","",$B157+5)</f>
        <v/>
      </c>
      <c r="P157" s="20"/>
      <c r="Q157" s="22" t="str">
        <f aca="false">IF($B157="","",$B157+10)</f>
        <v/>
      </c>
      <c r="R157" s="20"/>
      <c r="S157" s="23" t="str">
        <f aca="true">IF($B157="","",IF(AND($N157="Y",$P157="Y",$R157="Y"),"Done",IF(OR(AND($M157&lt;=TODAY(),$N157&lt;&gt;"Y"),AND($O157&lt;=TODAY(),$P157&lt;&gt;"Y"),AND($Q157&lt;=TODAY(),$R157&lt;&gt;"Y")),"DUE","Scheduled")))</f>
        <v/>
      </c>
      <c r="T157" s="20"/>
      <c r="U157" s="23" t="str">
        <f aca="false">IF($B157="","",IF(OR($T157&lt;=2,$I157="Editorial"),"REDO",""))</f>
        <v/>
      </c>
      <c r="V157" s="18" t="str">
        <f aca="false">IF($S157&lt;&gt;"DUE","",COUNTIF($S$3:$S157,"DUE"))</f>
        <v/>
      </c>
    </row>
    <row r="158" customFormat="false" ht="15" hidden="false" customHeight="false" outlineLevel="0" collapsed="false">
      <c r="A158" s="12" t="str">
        <f aca="false">IF($F158="","",ROW()-2)</f>
        <v/>
      </c>
      <c r="B158" s="19"/>
      <c r="C158" s="20"/>
      <c r="D158" s="21"/>
      <c r="E158" s="21"/>
      <c r="F158" s="21"/>
      <c r="G158" s="20"/>
      <c r="H158" s="21"/>
      <c r="I158" s="20"/>
      <c r="J158" s="20"/>
      <c r="K158" s="21"/>
      <c r="L158" s="21"/>
      <c r="M158" s="22" t="str">
        <f aca="false">IF($B158="","",$B158+2)</f>
        <v/>
      </c>
      <c r="N158" s="20"/>
      <c r="O158" s="22" t="str">
        <f aca="false">IF($B158="","",$B158+5)</f>
        <v/>
      </c>
      <c r="P158" s="20"/>
      <c r="Q158" s="22" t="str">
        <f aca="false">IF($B158="","",$B158+10)</f>
        <v/>
      </c>
      <c r="R158" s="20"/>
      <c r="S158" s="23" t="str">
        <f aca="true">IF($B158="","",IF(AND($N158="Y",$P158="Y",$R158="Y"),"Done",IF(OR(AND($M158&lt;=TODAY(),$N158&lt;&gt;"Y"),AND($O158&lt;=TODAY(),$P158&lt;&gt;"Y"),AND($Q158&lt;=TODAY(),$R158&lt;&gt;"Y")),"DUE","Scheduled")))</f>
        <v/>
      </c>
      <c r="T158" s="20"/>
      <c r="U158" s="23" t="str">
        <f aca="false">IF($B158="","",IF(OR($T158&lt;=2,$I158="Editorial"),"REDO",""))</f>
        <v/>
      </c>
      <c r="V158" s="18" t="str">
        <f aca="false">IF($S158&lt;&gt;"DUE","",COUNTIF($S$3:$S158,"DUE"))</f>
        <v/>
      </c>
    </row>
    <row r="159" customFormat="false" ht="15" hidden="false" customHeight="false" outlineLevel="0" collapsed="false">
      <c r="A159" s="12" t="str">
        <f aca="false">IF($F159="","",ROW()-2)</f>
        <v/>
      </c>
      <c r="B159" s="19"/>
      <c r="C159" s="20"/>
      <c r="D159" s="21"/>
      <c r="E159" s="21"/>
      <c r="F159" s="21"/>
      <c r="G159" s="20"/>
      <c r="H159" s="21"/>
      <c r="I159" s="20"/>
      <c r="J159" s="20"/>
      <c r="K159" s="21"/>
      <c r="L159" s="21"/>
      <c r="M159" s="22" t="str">
        <f aca="false">IF($B159="","",$B159+2)</f>
        <v/>
      </c>
      <c r="N159" s="20"/>
      <c r="O159" s="22" t="str">
        <f aca="false">IF($B159="","",$B159+5)</f>
        <v/>
      </c>
      <c r="P159" s="20"/>
      <c r="Q159" s="22" t="str">
        <f aca="false">IF($B159="","",$B159+10)</f>
        <v/>
      </c>
      <c r="R159" s="20"/>
      <c r="S159" s="23" t="str">
        <f aca="true">IF($B159="","",IF(AND($N159="Y",$P159="Y",$R159="Y"),"Done",IF(OR(AND($M159&lt;=TODAY(),$N159&lt;&gt;"Y"),AND($O159&lt;=TODAY(),$P159&lt;&gt;"Y"),AND($Q159&lt;=TODAY(),$R159&lt;&gt;"Y")),"DUE","Scheduled")))</f>
        <v/>
      </c>
      <c r="T159" s="20"/>
      <c r="U159" s="23" t="str">
        <f aca="false">IF($B159="","",IF(OR($T159&lt;=2,$I159="Editorial"),"REDO",""))</f>
        <v/>
      </c>
      <c r="V159" s="18" t="str">
        <f aca="false">IF($S159&lt;&gt;"DUE","",COUNTIF($S$3:$S159,"DUE"))</f>
        <v/>
      </c>
    </row>
    <row r="160" customFormat="false" ht="15" hidden="false" customHeight="false" outlineLevel="0" collapsed="false">
      <c r="A160" s="12" t="str">
        <f aca="false">IF($F160="","",ROW()-2)</f>
        <v/>
      </c>
      <c r="B160" s="19"/>
      <c r="C160" s="20"/>
      <c r="D160" s="21"/>
      <c r="E160" s="21"/>
      <c r="F160" s="21"/>
      <c r="G160" s="20"/>
      <c r="H160" s="21"/>
      <c r="I160" s="20"/>
      <c r="J160" s="20"/>
      <c r="K160" s="21"/>
      <c r="L160" s="21"/>
      <c r="M160" s="22" t="str">
        <f aca="false">IF($B160="","",$B160+2)</f>
        <v/>
      </c>
      <c r="N160" s="20"/>
      <c r="O160" s="22" t="str">
        <f aca="false">IF($B160="","",$B160+5)</f>
        <v/>
      </c>
      <c r="P160" s="20"/>
      <c r="Q160" s="22" t="str">
        <f aca="false">IF($B160="","",$B160+10)</f>
        <v/>
      </c>
      <c r="R160" s="20"/>
      <c r="S160" s="23" t="str">
        <f aca="true">IF($B160="","",IF(AND($N160="Y",$P160="Y",$R160="Y"),"Done",IF(OR(AND($M160&lt;=TODAY(),$N160&lt;&gt;"Y"),AND($O160&lt;=TODAY(),$P160&lt;&gt;"Y"),AND($Q160&lt;=TODAY(),$R160&lt;&gt;"Y")),"DUE","Scheduled")))</f>
        <v/>
      </c>
      <c r="T160" s="20"/>
      <c r="U160" s="23" t="str">
        <f aca="false">IF($B160="","",IF(OR($T160&lt;=2,$I160="Editorial"),"REDO",""))</f>
        <v/>
      </c>
      <c r="V160" s="18" t="str">
        <f aca="false">IF($S160&lt;&gt;"DUE","",COUNTIF($S$3:$S160,"DUE"))</f>
        <v/>
      </c>
    </row>
    <row r="161" customFormat="false" ht="15" hidden="false" customHeight="false" outlineLevel="0" collapsed="false">
      <c r="A161" s="12" t="str">
        <f aca="false">IF($F161="","",ROW()-2)</f>
        <v/>
      </c>
      <c r="B161" s="19"/>
      <c r="C161" s="20"/>
      <c r="D161" s="21"/>
      <c r="E161" s="21"/>
      <c r="F161" s="21"/>
      <c r="G161" s="20"/>
      <c r="H161" s="21"/>
      <c r="I161" s="20"/>
      <c r="J161" s="20"/>
      <c r="K161" s="21"/>
      <c r="L161" s="21"/>
      <c r="M161" s="22" t="str">
        <f aca="false">IF($B161="","",$B161+2)</f>
        <v/>
      </c>
      <c r="N161" s="20"/>
      <c r="O161" s="22" t="str">
        <f aca="false">IF($B161="","",$B161+5)</f>
        <v/>
      </c>
      <c r="P161" s="20"/>
      <c r="Q161" s="22" t="str">
        <f aca="false">IF($B161="","",$B161+10)</f>
        <v/>
      </c>
      <c r="R161" s="20"/>
      <c r="S161" s="23" t="str">
        <f aca="true">IF($B161="","",IF(AND($N161="Y",$P161="Y",$R161="Y"),"Done",IF(OR(AND($M161&lt;=TODAY(),$N161&lt;&gt;"Y"),AND($O161&lt;=TODAY(),$P161&lt;&gt;"Y"),AND($Q161&lt;=TODAY(),$R161&lt;&gt;"Y")),"DUE","Scheduled")))</f>
        <v/>
      </c>
      <c r="T161" s="20"/>
      <c r="U161" s="23" t="str">
        <f aca="false">IF($B161="","",IF(OR($T161&lt;=2,$I161="Editorial"),"REDO",""))</f>
        <v/>
      </c>
      <c r="V161" s="18" t="str">
        <f aca="false">IF($S161&lt;&gt;"DUE","",COUNTIF($S$3:$S161,"DUE"))</f>
        <v/>
      </c>
    </row>
    <row r="162" customFormat="false" ht="15" hidden="false" customHeight="false" outlineLevel="0" collapsed="false">
      <c r="A162" s="12" t="str">
        <f aca="false">IF($F162="","",ROW()-2)</f>
        <v/>
      </c>
      <c r="B162" s="19"/>
      <c r="C162" s="20"/>
      <c r="D162" s="21"/>
      <c r="E162" s="21"/>
      <c r="F162" s="21"/>
      <c r="G162" s="20"/>
      <c r="H162" s="21"/>
      <c r="I162" s="20"/>
      <c r="J162" s="20"/>
      <c r="K162" s="21"/>
      <c r="L162" s="21"/>
      <c r="M162" s="22" t="str">
        <f aca="false">IF($B162="","",$B162+2)</f>
        <v/>
      </c>
      <c r="N162" s="20"/>
      <c r="O162" s="22" t="str">
        <f aca="false">IF($B162="","",$B162+5)</f>
        <v/>
      </c>
      <c r="P162" s="20"/>
      <c r="Q162" s="22" t="str">
        <f aca="false">IF($B162="","",$B162+10)</f>
        <v/>
      </c>
      <c r="R162" s="20"/>
      <c r="S162" s="23" t="str">
        <f aca="true">IF($B162="","",IF(AND($N162="Y",$P162="Y",$R162="Y"),"Done",IF(OR(AND($M162&lt;=TODAY(),$N162&lt;&gt;"Y"),AND($O162&lt;=TODAY(),$P162&lt;&gt;"Y"),AND($Q162&lt;=TODAY(),$R162&lt;&gt;"Y")),"DUE","Scheduled")))</f>
        <v/>
      </c>
      <c r="T162" s="20"/>
      <c r="U162" s="23" t="str">
        <f aca="false">IF($B162="","",IF(OR($T162&lt;=2,$I162="Editorial"),"REDO",""))</f>
        <v/>
      </c>
      <c r="V162" s="18" t="str">
        <f aca="false">IF($S162&lt;&gt;"DUE","",COUNTIF($S$3:$S162,"DUE"))</f>
        <v/>
      </c>
    </row>
    <row r="163" customFormat="false" ht="15" hidden="false" customHeight="false" outlineLevel="0" collapsed="false">
      <c r="A163" s="12" t="str">
        <f aca="false">IF($F163="","",ROW()-2)</f>
        <v/>
      </c>
      <c r="B163" s="19"/>
      <c r="C163" s="20"/>
      <c r="D163" s="21"/>
      <c r="E163" s="21"/>
      <c r="F163" s="21"/>
      <c r="G163" s="20"/>
      <c r="H163" s="21"/>
      <c r="I163" s="20"/>
      <c r="J163" s="20"/>
      <c r="K163" s="21"/>
      <c r="L163" s="21"/>
      <c r="M163" s="22" t="str">
        <f aca="false">IF($B163="","",$B163+2)</f>
        <v/>
      </c>
      <c r="N163" s="20"/>
      <c r="O163" s="22" t="str">
        <f aca="false">IF($B163="","",$B163+5)</f>
        <v/>
      </c>
      <c r="P163" s="20"/>
      <c r="Q163" s="22" t="str">
        <f aca="false">IF($B163="","",$B163+10)</f>
        <v/>
      </c>
      <c r="R163" s="20"/>
      <c r="S163" s="23" t="str">
        <f aca="true">IF($B163="","",IF(AND($N163="Y",$P163="Y",$R163="Y"),"Done",IF(OR(AND($M163&lt;=TODAY(),$N163&lt;&gt;"Y"),AND($O163&lt;=TODAY(),$P163&lt;&gt;"Y"),AND($Q163&lt;=TODAY(),$R163&lt;&gt;"Y")),"DUE","Scheduled")))</f>
        <v/>
      </c>
      <c r="T163" s="20"/>
      <c r="U163" s="23" t="str">
        <f aca="false">IF($B163="","",IF(OR($T163&lt;=2,$I163="Editorial"),"REDO",""))</f>
        <v/>
      </c>
      <c r="V163" s="18" t="str">
        <f aca="false">IF($S163&lt;&gt;"DUE","",COUNTIF($S$3:$S163,"DUE"))</f>
        <v/>
      </c>
    </row>
    <row r="164" customFormat="false" ht="15" hidden="false" customHeight="false" outlineLevel="0" collapsed="false">
      <c r="A164" s="12" t="str">
        <f aca="false">IF($F164="","",ROW()-2)</f>
        <v/>
      </c>
      <c r="B164" s="19"/>
      <c r="C164" s="20"/>
      <c r="D164" s="21"/>
      <c r="E164" s="21"/>
      <c r="F164" s="21"/>
      <c r="G164" s="20"/>
      <c r="H164" s="21"/>
      <c r="I164" s="20"/>
      <c r="J164" s="20"/>
      <c r="K164" s="21"/>
      <c r="L164" s="21"/>
      <c r="M164" s="22" t="str">
        <f aca="false">IF($B164="","",$B164+2)</f>
        <v/>
      </c>
      <c r="N164" s="20"/>
      <c r="O164" s="22" t="str">
        <f aca="false">IF($B164="","",$B164+5)</f>
        <v/>
      </c>
      <c r="P164" s="20"/>
      <c r="Q164" s="22" t="str">
        <f aca="false">IF($B164="","",$B164+10)</f>
        <v/>
      </c>
      <c r="R164" s="20"/>
      <c r="S164" s="23" t="str">
        <f aca="true">IF($B164="","",IF(AND($N164="Y",$P164="Y",$R164="Y"),"Done",IF(OR(AND($M164&lt;=TODAY(),$N164&lt;&gt;"Y"),AND($O164&lt;=TODAY(),$P164&lt;&gt;"Y"),AND($Q164&lt;=TODAY(),$R164&lt;&gt;"Y")),"DUE","Scheduled")))</f>
        <v/>
      </c>
      <c r="T164" s="20"/>
      <c r="U164" s="23" t="str">
        <f aca="false">IF($B164="","",IF(OR($T164&lt;=2,$I164="Editorial"),"REDO",""))</f>
        <v/>
      </c>
      <c r="V164" s="18" t="str">
        <f aca="false">IF($S164&lt;&gt;"DUE","",COUNTIF($S$3:$S164,"DUE"))</f>
        <v/>
      </c>
    </row>
    <row r="165" customFormat="false" ht="15" hidden="false" customHeight="false" outlineLevel="0" collapsed="false">
      <c r="A165" s="12" t="str">
        <f aca="false">IF($F165="","",ROW()-2)</f>
        <v/>
      </c>
      <c r="B165" s="19"/>
      <c r="C165" s="20"/>
      <c r="D165" s="21"/>
      <c r="E165" s="21"/>
      <c r="F165" s="21"/>
      <c r="G165" s="20"/>
      <c r="H165" s="21"/>
      <c r="I165" s="20"/>
      <c r="J165" s="20"/>
      <c r="K165" s="21"/>
      <c r="L165" s="21"/>
      <c r="M165" s="22" t="str">
        <f aca="false">IF($B165="","",$B165+2)</f>
        <v/>
      </c>
      <c r="N165" s="20"/>
      <c r="O165" s="22" t="str">
        <f aca="false">IF($B165="","",$B165+5)</f>
        <v/>
      </c>
      <c r="P165" s="20"/>
      <c r="Q165" s="22" t="str">
        <f aca="false">IF($B165="","",$B165+10)</f>
        <v/>
      </c>
      <c r="R165" s="20"/>
      <c r="S165" s="23" t="str">
        <f aca="true">IF($B165="","",IF(AND($N165="Y",$P165="Y",$R165="Y"),"Done",IF(OR(AND($M165&lt;=TODAY(),$N165&lt;&gt;"Y"),AND($O165&lt;=TODAY(),$P165&lt;&gt;"Y"),AND($Q165&lt;=TODAY(),$R165&lt;&gt;"Y")),"DUE","Scheduled")))</f>
        <v/>
      </c>
      <c r="T165" s="20"/>
      <c r="U165" s="23" t="str">
        <f aca="false">IF($B165="","",IF(OR($T165&lt;=2,$I165="Editorial"),"REDO",""))</f>
        <v/>
      </c>
      <c r="V165" s="18" t="str">
        <f aca="false">IF($S165&lt;&gt;"DUE","",COUNTIF($S$3:$S165,"DUE"))</f>
        <v/>
      </c>
    </row>
    <row r="166" customFormat="false" ht="15" hidden="false" customHeight="false" outlineLevel="0" collapsed="false">
      <c r="A166" s="12" t="str">
        <f aca="false">IF($F166="","",ROW()-2)</f>
        <v/>
      </c>
      <c r="B166" s="19"/>
      <c r="C166" s="20"/>
      <c r="D166" s="21"/>
      <c r="E166" s="21"/>
      <c r="F166" s="21"/>
      <c r="G166" s="20"/>
      <c r="H166" s="21"/>
      <c r="I166" s="20"/>
      <c r="J166" s="20"/>
      <c r="K166" s="21"/>
      <c r="L166" s="21"/>
      <c r="M166" s="22" t="str">
        <f aca="false">IF($B166="","",$B166+2)</f>
        <v/>
      </c>
      <c r="N166" s="20"/>
      <c r="O166" s="22" t="str">
        <f aca="false">IF($B166="","",$B166+5)</f>
        <v/>
      </c>
      <c r="P166" s="20"/>
      <c r="Q166" s="22" t="str">
        <f aca="false">IF($B166="","",$B166+10)</f>
        <v/>
      </c>
      <c r="R166" s="20"/>
      <c r="S166" s="23" t="str">
        <f aca="true">IF($B166="","",IF(AND($N166="Y",$P166="Y",$R166="Y"),"Done",IF(OR(AND($M166&lt;=TODAY(),$N166&lt;&gt;"Y"),AND($O166&lt;=TODAY(),$P166&lt;&gt;"Y"),AND($Q166&lt;=TODAY(),$R166&lt;&gt;"Y")),"DUE","Scheduled")))</f>
        <v/>
      </c>
      <c r="T166" s="20"/>
      <c r="U166" s="23" t="str">
        <f aca="false">IF($B166="","",IF(OR($T166&lt;=2,$I166="Editorial"),"REDO",""))</f>
        <v/>
      </c>
      <c r="V166" s="18" t="str">
        <f aca="false">IF($S166&lt;&gt;"DUE","",COUNTIF($S$3:$S166,"DUE"))</f>
        <v/>
      </c>
    </row>
    <row r="167" customFormat="false" ht="15" hidden="false" customHeight="false" outlineLevel="0" collapsed="false">
      <c r="A167" s="12" t="str">
        <f aca="false">IF($F167="","",ROW()-2)</f>
        <v/>
      </c>
      <c r="B167" s="19"/>
      <c r="C167" s="20"/>
      <c r="D167" s="21"/>
      <c r="E167" s="21"/>
      <c r="F167" s="21"/>
      <c r="G167" s="20"/>
      <c r="H167" s="21"/>
      <c r="I167" s="20"/>
      <c r="J167" s="20"/>
      <c r="K167" s="21"/>
      <c r="L167" s="21"/>
      <c r="M167" s="22" t="str">
        <f aca="false">IF($B167="","",$B167+2)</f>
        <v/>
      </c>
      <c r="N167" s="20"/>
      <c r="O167" s="22" t="str">
        <f aca="false">IF($B167="","",$B167+5)</f>
        <v/>
      </c>
      <c r="P167" s="20"/>
      <c r="Q167" s="22" t="str">
        <f aca="false">IF($B167="","",$B167+10)</f>
        <v/>
      </c>
      <c r="R167" s="20"/>
      <c r="S167" s="23" t="str">
        <f aca="true">IF($B167="","",IF(AND($N167="Y",$P167="Y",$R167="Y"),"Done",IF(OR(AND($M167&lt;=TODAY(),$N167&lt;&gt;"Y"),AND($O167&lt;=TODAY(),$P167&lt;&gt;"Y"),AND($Q167&lt;=TODAY(),$R167&lt;&gt;"Y")),"DUE","Scheduled")))</f>
        <v/>
      </c>
      <c r="T167" s="20"/>
      <c r="U167" s="23" t="str">
        <f aca="false">IF($B167="","",IF(OR($T167&lt;=2,$I167="Editorial"),"REDO",""))</f>
        <v/>
      </c>
      <c r="V167" s="18" t="str">
        <f aca="false">IF($S167&lt;&gt;"DUE","",COUNTIF($S$3:$S167,"DUE"))</f>
        <v/>
      </c>
    </row>
    <row r="168" customFormat="false" ht="15" hidden="false" customHeight="false" outlineLevel="0" collapsed="false">
      <c r="A168" s="12" t="str">
        <f aca="false">IF($F168="","",ROW()-2)</f>
        <v/>
      </c>
      <c r="B168" s="19"/>
      <c r="C168" s="20"/>
      <c r="D168" s="21"/>
      <c r="E168" s="21"/>
      <c r="F168" s="21"/>
      <c r="G168" s="20"/>
      <c r="H168" s="21"/>
      <c r="I168" s="20"/>
      <c r="J168" s="20"/>
      <c r="K168" s="21"/>
      <c r="L168" s="21"/>
      <c r="M168" s="22" t="str">
        <f aca="false">IF($B168="","",$B168+2)</f>
        <v/>
      </c>
      <c r="N168" s="20"/>
      <c r="O168" s="22" t="str">
        <f aca="false">IF($B168="","",$B168+5)</f>
        <v/>
      </c>
      <c r="P168" s="20"/>
      <c r="Q168" s="22" t="str">
        <f aca="false">IF($B168="","",$B168+10)</f>
        <v/>
      </c>
      <c r="R168" s="20"/>
      <c r="S168" s="23" t="str">
        <f aca="true">IF($B168="","",IF(AND($N168="Y",$P168="Y",$R168="Y"),"Done",IF(OR(AND($M168&lt;=TODAY(),$N168&lt;&gt;"Y"),AND($O168&lt;=TODAY(),$P168&lt;&gt;"Y"),AND($Q168&lt;=TODAY(),$R168&lt;&gt;"Y")),"DUE","Scheduled")))</f>
        <v/>
      </c>
      <c r="T168" s="20"/>
      <c r="U168" s="23" t="str">
        <f aca="false">IF($B168="","",IF(OR($T168&lt;=2,$I168="Editorial"),"REDO",""))</f>
        <v/>
      </c>
      <c r="V168" s="18" t="str">
        <f aca="false">IF($S168&lt;&gt;"DUE","",COUNTIF($S$3:$S168,"DUE"))</f>
        <v/>
      </c>
    </row>
    <row r="169" customFormat="false" ht="15" hidden="false" customHeight="false" outlineLevel="0" collapsed="false">
      <c r="A169" s="12" t="str">
        <f aca="false">IF($F169="","",ROW()-2)</f>
        <v/>
      </c>
      <c r="B169" s="19"/>
      <c r="C169" s="20"/>
      <c r="D169" s="21"/>
      <c r="E169" s="21"/>
      <c r="F169" s="21"/>
      <c r="G169" s="20"/>
      <c r="H169" s="21"/>
      <c r="I169" s="20"/>
      <c r="J169" s="20"/>
      <c r="K169" s="21"/>
      <c r="L169" s="21"/>
      <c r="M169" s="22" t="str">
        <f aca="false">IF($B169="","",$B169+2)</f>
        <v/>
      </c>
      <c r="N169" s="20"/>
      <c r="O169" s="22" t="str">
        <f aca="false">IF($B169="","",$B169+5)</f>
        <v/>
      </c>
      <c r="P169" s="20"/>
      <c r="Q169" s="22" t="str">
        <f aca="false">IF($B169="","",$B169+10)</f>
        <v/>
      </c>
      <c r="R169" s="20"/>
      <c r="S169" s="23" t="str">
        <f aca="true">IF($B169="","",IF(AND($N169="Y",$P169="Y",$R169="Y"),"Done",IF(OR(AND($M169&lt;=TODAY(),$N169&lt;&gt;"Y"),AND($O169&lt;=TODAY(),$P169&lt;&gt;"Y"),AND($Q169&lt;=TODAY(),$R169&lt;&gt;"Y")),"DUE","Scheduled")))</f>
        <v/>
      </c>
      <c r="T169" s="20"/>
      <c r="U169" s="23" t="str">
        <f aca="false">IF($B169="","",IF(OR($T169&lt;=2,$I169="Editorial"),"REDO",""))</f>
        <v/>
      </c>
      <c r="V169" s="18" t="str">
        <f aca="false">IF($S169&lt;&gt;"DUE","",COUNTIF($S$3:$S169,"DUE"))</f>
        <v/>
      </c>
    </row>
    <row r="170" customFormat="false" ht="15" hidden="false" customHeight="false" outlineLevel="0" collapsed="false">
      <c r="A170" s="12" t="str">
        <f aca="false">IF($F170="","",ROW()-2)</f>
        <v/>
      </c>
      <c r="B170" s="19"/>
      <c r="C170" s="20"/>
      <c r="D170" s="21"/>
      <c r="E170" s="21"/>
      <c r="F170" s="21"/>
      <c r="G170" s="20"/>
      <c r="H170" s="21"/>
      <c r="I170" s="20"/>
      <c r="J170" s="20"/>
      <c r="K170" s="21"/>
      <c r="L170" s="21"/>
      <c r="M170" s="22" t="str">
        <f aca="false">IF($B170="","",$B170+2)</f>
        <v/>
      </c>
      <c r="N170" s="20"/>
      <c r="O170" s="22" t="str">
        <f aca="false">IF($B170="","",$B170+5)</f>
        <v/>
      </c>
      <c r="P170" s="20"/>
      <c r="Q170" s="22" t="str">
        <f aca="false">IF($B170="","",$B170+10)</f>
        <v/>
      </c>
      <c r="R170" s="20"/>
      <c r="S170" s="23" t="str">
        <f aca="true">IF($B170="","",IF(AND($N170="Y",$P170="Y",$R170="Y"),"Done",IF(OR(AND($M170&lt;=TODAY(),$N170&lt;&gt;"Y"),AND($O170&lt;=TODAY(),$P170&lt;&gt;"Y"),AND($Q170&lt;=TODAY(),$R170&lt;&gt;"Y")),"DUE","Scheduled")))</f>
        <v/>
      </c>
      <c r="T170" s="20"/>
      <c r="U170" s="23" t="str">
        <f aca="false">IF($B170="","",IF(OR($T170&lt;=2,$I170="Editorial"),"REDO",""))</f>
        <v/>
      </c>
      <c r="V170" s="18" t="str">
        <f aca="false">IF($S170&lt;&gt;"DUE","",COUNTIF($S$3:$S170,"DUE"))</f>
        <v/>
      </c>
    </row>
    <row r="171" customFormat="false" ht="15" hidden="false" customHeight="false" outlineLevel="0" collapsed="false">
      <c r="A171" s="12" t="str">
        <f aca="false">IF($F171="","",ROW()-2)</f>
        <v/>
      </c>
      <c r="B171" s="19"/>
      <c r="C171" s="20"/>
      <c r="D171" s="21"/>
      <c r="E171" s="21"/>
      <c r="F171" s="21"/>
      <c r="G171" s="20"/>
      <c r="H171" s="21"/>
      <c r="I171" s="20"/>
      <c r="J171" s="20"/>
      <c r="K171" s="21"/>
      <c r="L171" s="21"/>
      <c r="M171" s="22" t="str">
        <f aca="false">IF($B171="","",$B171+2)</f>
        <v/>
      </c>
      <c r="N171" s="20"/>
      <c r="O171" s="22" t="str">
        <f aca="false">IF($B171="","",$B171+5)</f>
        <v/>
      </c>
      <c r="P171" s="20"/>
      <c r="Q171" s="22" t="str">
        <f aca="false">IF($B171="","",$B171+10)</f>
        <v/>
      </c>
      <c r="R171" s="20"/>
      <c r="S171" s="23" t="str">
        <f aca="true">IF($B171="","",IF(AND($N171="Y",$P171="Y",$R171="Y"),"Done",IF(OR(AND($M171&lt;=TODAY(),$N171&lt;&gt;"Y"),AND($O171&lt;=TODAY(),$P171&lt;&gt;"Y"),AND($Q171&lt;=TODAY(),$R171&lt;&gt;"Y")),"DUE","Scheduled")))</f>
        <v/>
      </c>
      <c r="T171" s="20"/>
      <c r="U171" s="23" t="str">
        <f aca="false">IF($B171="","",IF(OR($T171&lt;=2,$I171="Editorial"),"REDO",""))</f>
        <v/>
      </c>
      <c r="V171" s="18" t="str">
        <f aca="false">IF($S171&lt;&gt;"DUE","",COUNTIF($S$3:$S171,"DUE"))</f>
        <v/>
      </c>
    </row>
    <row r="172" customFormat="false" ht="15" hidden="false" customHeight="false" outlineLevel="0" collapsed="false">
      <c r="A172" s="12" t="str">
        <f aca="false">IF($F172="","",ROW()-2)</f>
        <v/>
      </c>
      <c r="B172" s="19"/>
      <c r="C172" s="20"/>
      <c r="D172" s="21"/>
      <c r="E172" s="21"/>
      <c r="F172" s="21"/>
      <c r="G172" s="20"/>
      <c r="H172" s="21"/>
      <c r="I172" s="20"/>
      <c r="J172" s="20"/>
      <c r="K172" s="21"/>
      <c r="L172" s="21"/>
      <c r="M172" s="22" t="str">
        <f aca="false">IF($B172="","",$B172+2)</f>
        <v/>
      </c>
      <c r="N172" s="20"/>
      <c r="O172" s="22" t="str">
        <f aca="false">IF($B172="","",$B172+5)</f>
        <v/>
      </c>
      <c r="P172" s="20"/>
      <c r="Q172" s="22" t="str">
        <f aca="false">IF($B172="","",$B172+10)</f>
        <v/>
      </c>
      <c r="R172" s="20"/>
      <c r="S172" s="23" t="str">
        <f aca="true">IF($B172="","",IF(AND($N172="Y",$P172="Y",$R172="Y"),"Done",IF(OR(AND($M172&lt;=TODAY(),$N172&lt;&gt;"Y"),AND($O172&lt;=TODAY(),$P172&lt;&gt;"Y"),AND($Q172&lt;=TODAY(),$R172&lt;&gt;"Y")),"DUE","Scheduled")))</f>
        <v/>
      </c>
      <c r="T172" s="20"/>
      <c r="U172" s="23" t="str">
        <f aca="false">IF($B172="","",IF(OR($T172&lt;=2,$I172="Editorial"),"REDO",""))</f>
        <v/>
      </c>
      <c r="V172" s="18" t="str">
        <f aca="false">IF($S172&lt;&gt;"DUE","",COUNTIF($S$3:$S172,"DUE"))</f>
        <v/>
      </c>
    </row>
    <row r="173" customFormat="false" ht="15" hidden="false" customHeight="false" outlineLevel="0" collapsed="false">
      <c r="A173" s="12" t="str">
        <f aca="false">IF($F173="","",ROW()-2)</f>
        <v/>
      </c>
      <c r="B173" s="19"/>
      <c r="C173" s="20"/>
      <c r="D173" s="21"/>
      <c r="E173" s="21"/>
      <c r="F173" s="21"/>
      <c r="G173" s="20"/>
      <c r="H173" s="21"/>
      <c r="I173" s="20"/>
      <c r="J173" s="20"/>
      <c r="K173" s="21"/>
      <c r="L173" s="21"/>
      <c r="M173" s="22" t="str">
        <f aca="false">IF($B173="","",$B173+2)</f>
        <v/>
      </c>
      <c r="N173" s="20"/>
      <c r="O173" s="22" t="str">
        <f aca="false">IF($B173="","",$B173+5)</f>
        <v/>
      </c>
      <c r="P173" s="20"/>
      <c r="Q173" s="22" t="str">
        <f aca="false">IF($B173="","",$B173+10)</f>
        <v/>
      </c>
      <c r="R173" s="20"/>
      <c r="S173" s="23" t="str">
        <f aca="true">IF($B173="","",IF(AND($N173="Y",$P173="Y",$R173="Y"),"Done",IF(OR(AND($M173&lt;=TODAY(),$N173&lt;&gt;"Y"),AND($O173&lt;=TODAY(),$P173&lt;&gt;"Y"),AND($Q173&lt;=TODAY(),$R173&lt;&gt;"Y")),"DUE","Scheduled")))</f>
        <v/>
      </c>
      <c r="T173" s="20"/>
      <c r="U173" s="23" t="str">
        <f aca="false">IF($B173="","",IF(OR($T173&lt;=2,$I173="Editorial"),"REDO",""))</f>
        <v/>
      </c>
      <c r="V173" s="18" t="str">
        <f aca="false">IF($S173&lt;&gt;"DUE","",COUNTIF($S$3:$S173,"DUE"))</f>
        <v/>
      </c>
    </row>
    <row r="174" customFormat="false" ht="15" hidden="false" customHeight="false" outlineLevel="0" collapsed="false">
      <c r="A174" s="12" t="str">
        <f aca="false">IF($F174="","",ROW()-2)</f>
        <v/>
      </c>
      <c r="B174" s="19"/>
      <c r="C174" s="20"/>
      <c r="D174" s="21"/>
      <c r="E174" s="21"/>
      <c r="F174" s="21"/>
      <c r="G174" s="20"/>
      <c r="H174" s="21"/>
      <c r="I174" s="20"/>
      <c r="J174" s="20"/>
      <c r="K174" s="21"/>
      <c r="L174" s="21"/>
      <c r="M174" s="22" t="str">
        <f aca="false">IF($B174="","",$B174+2)</f>
        <v/>
      </c>
      <c r="N174" s="20"/>
      <c r="O174" s="22" t="str">
        <f aca="false">IF($B174="","",$B174+5)</f>
        <v/>
      </c>
      <c r="P174" s="20"/>
      <c r="Q174" s="22" t="str">
        <f aca="false">IF($B174="","",$B174+10)</f>
        <v/>
      </c>
      <c r="R174" s="20"/>
      <c r="S174" s="23" t="str">
        <f aca="true">IF($B174="","",IF(AND($N174="Y",$P174="Y",$R174="Y"),"Done",IF(OR(AND($M174&lt;=TODAY(),$N174&lt;&gt;"Y"),AND($O174&lt;=TODAY(),$P174&lt;&gt;"Y"),AND($Q174&lt;=TODAY(),$R174&lt;&gt;"Y")),"DUE","Scheduled")))</f>
        <v/>
      </c>
      <c r="T174" s="20"/>
      <c r="U174" s="23" t="str">
        <f aca="false">IF($B174="","",IF(OR($T174&lt;=2,$I174="Editorial"),"REDO",""))</f>
        <v/>
      </c>
      <c r="V174" s="18" t="str">
        <f aca="false">IF($S174&lt;&gt;"DUE","",COUNTIF($S$3:$S174,"DUE"))</f>
        <v/>
      </c>
    </row>
    <row r="175" customFormat="false" ht="15" hidden="false" customHeight="false" outlineLevel="0" collapsed="false">
      <c r="A175" s="12" t="str">
        <f aca="false">IF($F175="","",ROW()-2)</f>
        <v/>
      </c>
      <c r="B175" s="19"/>
      <c r="C175" s="20"/>
      <c r="D175" s="21"/>
      <c r="E175" s="21"/>
      <c r="F175" s="21"/>
      <c r="G175" s="20"/>
      <c r="H175" s="21"/>
      <c r="I175" s="20"/>
      <c r="J175" s="20"/>
      <c r="K175" s="21"/>
      <c r="L175" s="21"/>
      <c r="M175" s="22" t="str">
        <f aca="false">IF($B175="","",$B175+2)</f>
        <v/>
      </c>
      <c r="N175" s="20"/>
      <c r="O175" s="22" t="str">
        <f aca="false">IF($B175="","",$B175+5)</f>
        <v/>
      </c>
      <c r="P175" s="20"/>
      <c r="Q175" s="22" t="str">
        <f aca="false">IF($B175="","",$B175+10)</f>
        <v/>
      </c>
      <c r="R175" s="20"/>
      <c r="S175" s="23" t="str">
        <f aca="true">IF($B175="","",IF(AND($N175="Y",$P175="Y",$R175="Y"),"Done",IF(OR(AND($M175&lt;=TODAY(),$N175&lt;&gt;"Y"),AND($O175&lt;=TODAY(),$P175&lt;&gt;"Y"),AND($Q175&lt;=TODAY(),$R175&lt;&gt;"Y")),"DUE","Scheduled")))</f>
        <v/>
      </c>
      <c r="T175" s="20"/>
      <c r="U175" s="23" t="str">
        <f aca="false">IF($B175="","",IF(OR($T175&lt;=2,$I175="Editorial"),"REDO",""))</f>
        <v/>
      </c>
      <c r="V175" s="18" t="str">
        <f aca="false">IF($S175&lt;&gt;"DUE","",COUNTIF($S$3:$S175,"DUE"))</f>
        <v/>
      </c>
    </row>
    <row r="176" customFormat="false" ht="15" hidden="false" customHeight="false" outlineLevel="0" collapsed="false">
      <c r="A176" s="12" t="str">
        <f aca="false">IF($F176="","",ROW()-2)</f>
        <v/>
      </c>
      <c r="B176" s="19"/>
      <c r="C176" s="20"/>
      <c r="D176" s="21"/>
      <c r="E176" s="21"/>
      <c r="F176" s="21"/>
      <c r="G176" s="20"/>
      <c r="H176" s="21"/>
      <c r="I176" s="20"/>
      <c r="J176" s="20"/>
      <c r="K176" s="21"/>
      <c r="L176" s="21"/>
      <c r="M176" s="22" t="str">
        <f aca="false">IF($B176="","",$B176+2)</f>
        <v/>
      </c>
      <c r="N176" s="20"/>
      <c r="O176" s="22" t="str">
        <f aca="false">IF($B176="","",$B176+5)</f>
        <v/>
      </c>
      <c r="P176" s="20"/>
      <c r="Q176" s="22" t="str">
        <f aca="false">IF($B176="","",$B176+10)</f>
        <v/>
      </c>
      <c r="R176" s="20"/>
      <c r="S176" s="23" t="str">
        <f aca="true">IF($B176="","",IF(AND($N176="Y",$P176="Y",$R176="Y"),"Done",IF(OR(AND($M176&lt;=TODAY(),$N176&lt;&gt;"Y"),AND($O176&lt;=TODAY(),$P176&lt;&gt;"Y"),AND($Q176&lt;=TODAY(),$R176&lt;&gt;"Y")),"DUE","Scheduled")))</f>
        <v/>
      </c>
      <c r="T176" s="20"/>
      <c r="U176" s="23" t="str">
        <f aca="false">IF($B176="","",IF(OR($T176&lt;=2,$I176="Editorial"),"REDO",""))</f>
        <v/>
      </c>
      <c r="V176" s="18" t="str">
        <f aca="false">IF($S176&lt;&gt;"DUE","",COUNTIF($S$3:$S176,"DUE"))</f>
        <v/>
      </c>
    </row>
    <row r="177" customFormat="false" ht="15" hidden="false" customHeight="false" outlineLevel="0" collapsed="false">
      <c r="A177" s="12" t="str">
        <f aca="false">IF($F177="","",ROW()-2)</f>
        <v/>
      </c>
      <c r="B177" s="19"/>
      <c r="C177" s="20"/>
      <c r="D177" s="21"/>
      <c r="E177" s="21"/>
      <c r="F177" s="21"/>
      <c r="G177" s="20"/>
      <c r="H177" s="21"/>
      <c r="I177" s="20"/>
      <c r="J177" s="20"/>
      <c r="K177" s="21"/>
      <c r="L177" s="21"/>
      <c r="M177" s="22" t="str">
        <f aca="false">IF($B177="","",$B177+2)</f>
        <v/>
      </c>
      <c r="N177" s="20"/>
      <c r="O177" s="22" t="str">
        <f aca="false">IF($B177="","",$B177+5)</f>
        <v/>
      </c>
      <c r="P177" s="20"/>
      <c r="Q177" s="22" t="str">
        <f aca="false">IF($B177="","",$B177+10)</f>
        <v/>
      </c>
      <c r="R177" s="20"/>
      <c r="S177" s="23" t="str">
        <f aca="true">IF($B177="","",IF(AND($N177="Y",$P177="Y",$R177="Y"),"Done",IF(OR(AND($M177&lt;=TODAY(),$N177&lt;&gt;"Y"),AND($O177&lt;=TODAY(),$P177&lt;&gt;"Y"),AND($Q177&lt;=TODAY(),$R177&lt;&gt;"Y")),"DUE","Scheduled")))</f>
        <v/>
      </c>
      <c r="T177" s="20"/>
      <c r="U177" s="23" t="str">
        <f aca="false">IF($B177="","",IF(OR($T177&lt;=2,$I177="Editorial"),"REDO",""))</f>
        <v/>
      </c>
      <c r="V177" s="18" t="str">
        <f aca="false">IF($S177&lt;&gt;"DUE","",COUNTIF($S$3:$S177,"DUE"))</f>
        <v/>
      </c>
    </row>
    <row r="178" customFormat="false" ht="15" hidden="false" customHeight="false" outlineLevel="0" collapsed="false">
      <c r="A178" s="12" t="str">
        <f aca="false">IF($F178="","",ROW()-2)</f>
        <v/>
      </c>
      <c r="B178" s="19"/>
      <c r="C178" s="20"/>
      <c r="D178" s="21"/>
      <c r="E178" s="21"/>
      <c r="F178" s="21"/>
      <c r="G178" s="20"/>
      <c r="H178" s="21"/>
      <c r="I178" s="20"/>
      <c r="J178" s="20"/>
      <c r="K178" s="21"/>
      <c r="L178" s="21"/>
      <c r="M178" s="22" t="str">
        <f aca="false">IF($B178="","",$B178+2)</f>
        <v/>
      </c>
      <c r="N178" s="20"/>
      <c r="O178" s="22" t="str">
        <f aca="false">IF($B178="","",$B178+5)</f>
        <v/>
      </c>
      <c r="P178" s="20"/>
      <c r="Q178" s="22" t="str">
        <f aca="false">IF($B178="","",$B178+10)</f>
        <v/>
      </c>
      <c r="R178" s="20"/>
      <c r="S178" s="23" t="str">
        <f aca="true">IF($B178="","",IF(AND($N178="Y",$P178="Y",$R178="Y"),"Done",IF(OR(AND($M178&lt;=TODAY(),$N178&lt;&gt;"Y"),AND($O178&lt;=TODAY(),$P178&lt;&gt;"Y"),AND($Q178&lt;=TODAY(),$R178&lt;&gt;"Y")),"DUE","Scheduled")))</f>
        <v/>
      </c>
      <c r="T178" s="20"/>
      <c r="U178" s="23" t="str">
        <f aca="false">IF($B178="","",IF(OR($T178&lt;=2,$I178="Editorial"),"REDO",""))</f>
        <v/>
      </c>
      <c r="V178" s="18" t="str">
        <f aca="false">IF($S178&lt;&gt;"DUE","",COUNTIF($S$3:$S178,"DUE"))</f>
        <v/>
      </c>
    </row>
    <row r="179" customFormat="false" ht="15" hidden="false" customHeight="false" outlineLevel="0" collapsed="false">
      <c r="A179" s="12" t="str">
        <f aca="false">IF($F179="","",ROW()-2)</f>
        <v/>
      </c>
      <c r="B179" s="19"/>
      <c r="C179" s="20"/>
      <c r="D179" s="21"/>
      <c r="E179" s="21"/>
      <c r="F179" s="21"/>
      <c r="G179" s="20"/>
      <c r="H179" s="21"/>
      <c r="I179" s="20"/>
      <c r="J179" s="20"/>
      <c r="K179" s="21"/>
      <c r="L179" s="21"/>
      <c r="M179" s="22" t="str">
        <f aca="false">IF($B179="","",$B179+2)</f>
        <v/>
      </c>
      <c r="N179" s="20"/>
      <c r="O179" s="22" t="str">
        <f aca="false">IF($B179="","",$B179+5)</f>
        <v/>
      </c>
      <c r="P179" s="20"/>
      <c r="Q179" s="22" t="str">
        <f aca="false">IF($B179="","",$B179+10)</f>
        <v/>
      </c>
      <c r="R179" s="20"/>
      <c r="S179" s="23" t="str">
        <f aca="true">IF($B179="","",IF(AND($N179="Y",$P179="Y",$R179="Y"),"Done",IF(OR(AND($M179&lt;=TODAY(),$N179&lt;&gt;"Y"),AND($O179&lt;=TODAY(),$P179&lt;&gt;"Y"),AND($Q179&lt;=TODAY(),$R179&lt;&gt;"Y")),"DUE","Scheduled")))</f>
        <v/>
      </c>
      <c r="T179" s="20"/>
      <c r="U179" s="23" t="str">
        <f aca="false">IF($B179="","",IF(OR($T179&lt;=2,$I179="Editorial"),"REDO",""))</f>
        <v/>
      </c>
      <c r="V179" s="18" t="str">
        <f aca="false">IF($S179&lt;&gt;"DUE","",COUNTIF($S$3:$S179,"DUE"))</f>
        <v/>
      </c>
    </row>
    <row r="180" customFormat="false" ht="15" hidden="false" customHeight="false" outlineLevel="0" collapsed="false">
      <c r="A180" s="12" t="str">
        <f aca="false">IF($F180="","",ROW()-2)</f>
        <v/>
      </c>
      <c r="B180" s="19"/>
      <c r="C180" s="20"/>
      <c r="D180" s="21"/>
      <c r="E180" s="21"/>
      <c r="F180" s="21"/>
      <c r="G180" s="20"/>
      <c r="H180" s="21"/>
      <c r="I180" s="20"/>
      <c r="J180" s="20"/>
      <c r="K180" s="21"/>
      <c r="L180" s="21"/>
      <c r="M180" s="22" t="str">
        <f aca="false">IF($B180="","",$B180+2)</f>
        <v/>
      </c>
      <c r="N180" s="20"/>
      <c r="O180" s="22" t="str">
        <f aca="false">IF($B180="","",$B180+5)</f>
        <v/>
      </c>
      <c r="P180" s="20"/>
      <c r="Q180" s="22" t="str">
        <f aca="false">IF($B180="","",$B180+10)</f>
        <v/>
      </c>
      <c r="R180" s="20"/>
      <c r="S180" s="23" t="str">
        <f aca="true">IF($B180="","",IF(AND($N180="Y",$P180="Y",$R180="Y"),"Done",IF(OR(AND($M180&lt;=TODAY(),$N180&lt;&gt;"Y"),AND($O180&lt;=TODAY(),$P180&lt;&gt;"Y"),AND($Q180&lt;=TODAY(),$R180&lt;&gt;"Y")),"DUE","Scheduled")))</f>
        <v/>
      </c>
      <c r="T180" s="20"/>
      <c r="U180" s="23" t="str">
        <f aca="false">IF($B180="","",IF(OR($T180&lt;=2,$I180="Editorial"),"REDO",""))</f>
        <v/>
      </c>
      <c r="V180" s="18" t="str">
        <f aca="false">IF($S180&lt;&gt;"DUE","",COUNTIF($S$3:$S180,"DUE"))</f>
        <v/>
      </c>
    </row>
    <row r="181" customFormat="false" ht="15" hidden="false" customHeight="false" outlineLevel="0" collapsed="false">
      <c r="A181" s="12" t="str">
        <f aca="false">IF($F181="","",ROW()-2)</f>
        <v/>
      </c>
      <c r="B181" s="19"/>
      <c r="C181" s="20"/>
      <c r="D181" s="21"/>
      <c r="E181" s="21"/>
      <c r="F181" s="21"/>
      <c r="G181" s="20"/>
      <c r="H181" s="21"/>
      <c r="I181" s="20"/>
      <c r="J181" s="20"/>
      <c r="K181" s="21"/>
      <c r="L181" s="21"/>
      <c r="M181" s="22" t="str">
        <f aca="false">IF($B181="","",$B181+2)</f>
        <v/>
      </c>
      <c r="N181" s="20"/>
      <c r="O181" s="22" t="str">
        <f aca="false">IF($B181="","",$B181+5)</f>
        <v/>
      </c>
      <c r="P181" s="20"/>
      <c r="Q181" s="22" t="str">
        <f aca="false">IF($B181="","",$B181+10)</f>
        <v/>
      </c>
      <c r="R181" s="20"/>
      <c r="S181" s="23" t="str">
        <f aca="true">IF($B181="","",IF(AND($N181="Y",$P181="Y",$R181="Y"),"Done",IF(OR(AND($M181&lt;=TODAY(),$N181&lt;&gt;"Y"),AND($O181&lt;=TODAY(),$P181&lt;&gt;"Y"),AND($Q181&lt;=TODAY(),$R181&lt;&gt;"Y")),"DUE","Scheduled")))</f>
        <v/>
      </c>
      <c r="T181" s="20"/>
      <c r="U181" s="23" t="str">
        <f aca="false">IF($B181="","",IF(OR($T181&lt;=2,$I181="Editorial"),"REDO",""))</f>
        <v/>
      </c>
      <c r="V181" s="18" t="str">
        <f aca="false">IF($S181&lt;&gt;"DUE","",COUNTIF($S$3:$S181,"DUE"))</f>
        <v/>
      </c>
    </row>
    <row r="182" customFormat="false" ht="15" hidden="false" customHeight="false" outlineLevel="0" collapsed="false">
      <c r="A182" s="12" t="str">
        <f aca="false">IF($F182="","",ROW()-2)</f>
        <v/>
      </c>
      <c r="B182" s="19"/>
      <c r="C182" s="20"/>
      <c r="D182" s="21"/>
      <c r="E182" s="21"/>
      <c r="F182" s="21"/>
      <c r="G182" s="20"/>
      <c r="H182" s="21"/>
      <c r="I182" s="20"/>
      <c r="J182" s="20"/>
      <c r="K182" s="21"/>
      <c r="L182" s="21"/>
      <c r="M182" s="22" t="str">
        <f aca="false">IF($B182="","",$B182+2)</f>
        <v/>
      </c>
      <c r="N182" s="20"/>
      <c r="O182" s="22" t="str">
        <f aca="false">IF($B182="","",$B182+5)</f>
        <v/>
      </c>
      <c r="P182" s="20"/>
      <c r="Q182" s="22" t="str">
        <f aca="false">IF($B182="","",$B182+10)</f>
        <v/>
      </c>
      <c r="R182" s="20"/>
      <c r="S182" s="23" t="str">
        <f aca="true">IF($B182="","",IF(AND($N182="Y",$P182="Y",$R182="Y"),"Done",IF(OR(AND($M182&lt;=TODAY(),$N182&lt;&gt;"Y"),AND($O182&lt;=TODAY(),$P182&lt;&gt;"Y"),AND($Q182&lt;=TODAY(),$R182&lt;&gt;"Y")),"DUE","Scheduled")))</f>
        <v/>
      </c>
      <c r="T182" s="20"/>
      <c r="U182" s="23" t="str">
        <f aca="false">IF($B182="","",IF(OR($T182&lt;=2,$I182="Editorial"),"REDO",""))</f>
        <v/>
      </c>
      <c r="V182" s="18" t="str">
        <f aca="false">IF($S182&lt;&gt;"DUE","",COUNTIF($S$3:$S182,"DUE"))</f>
        <v/>
      </c>
    </row>
    <row r="183" customFormat="false" ht="15" hidden="false" customHeight="false" outlineLevel="0" collapsed="false">
      <c r="A183" s="12" t="str">
        <f aca="false">IF($F183="","",ROW()-2)</f>
        <v/>
      </c>
      <c r="B183" s="19"/>
      <c r="C183" s="20"/>
      <c r="D183" s="21"/>
      <c r="E183" s="21"/>
      <c r="F183" s="21"/>
      <c r="G183" s="20"/>
      <c r="H183" s="21"/>
      <c r="I183" s="20"/>
      <c r="J183" s="20"/>
      <c r="K183" s="21"/>
      <c r="L183" s="21"/>
      <c r="M183" s="22" t="str">
        <f aca="false">IF($B183="","",$B183+2)</f>
        <v/>
      </c>
      <c r="N183" s="20"/>
      <c r="O183" s="22" t="str">
        <f aca="false">IF($B183="","",$B183+5)</f>
        <v/>
      </c>
      <c r="P183" s="20"/>
      <c r="Q183" s="22" t="str">
        <f aca="false">IF($B183="","",$B183+10)</f>
        <v/>
      </c>
      <c r="R183" s="20"/>
      <c r="S183" s="23" t="str">
        <f aca="true">IF($B183="","",IF(AND($N183="Y",$P183="Y",$R183="Y"),"Done",IF(OR(AND($M183&lt;=TODAY(),$N183&lt;&gt;"Y"),AND($O183&lt;=TODAY(),$P183&lt;&gt;"Y"),AND($Q183&lt;=TODAY(),$R183&lt;&gt;"Y")),"DUE","Scheduled")))</f>
        <v/>
      </c>
      <c r="T183" s="20"/>
      <c r="U183" s="23" t="str">
        <f aca="false">IF($B183="","",IF(OR($T183&lt;=2,$I183="Editorial"),"REDO",""))</f>
        <v/>
      </c>
      <c r="V183" s="18" t="str">
        <f aca="false">IF($S183&lt;&gt;"DUE","",COUNTIF($S$3:$S183,"DUE"))</f>
        <v/>
      </c>
    </row>
    <row r="184" customFormat="false" ht="15" hidden="false" customHeight="false" outlineLevel="0" collapsed="false">
      <c r="A184" s="12" t="str">
        <f aca="false">IF($F184="","",ROW()-2)</f>
        <v/>
      </c>
      <c r="B184" s="19"/>
      <c r="C184" s="20"/>
      <c r="D184" s="21"/>
      <c r="E184" s="21"/>
      <c r="F184" s="21"/>
      <c r="G184" s="20"/>
      <c r="H184" s="21"/>
      <c r="I184" s="20"/>
      <c r="J184" s="20"/>
      <c r="K184" s="21"/>
      <c r="L184" s="21"/>
      <c r="M184" s="22" t="str">
        <f aca="false">IF($B184="","",$B184+2)</f>
        <v/>
      </c>
      <c r="N184" s="20"/>
      <c r="O184" s="22" t="str">
        <f aca="false">IF($B184="","",$B184+5)</f>
        <v/>
      </c>
      <c r="P184" s="20"/>
      <c r="Q184" s="22" t="str">
        <f aca="false">IF($B184="","",$B184+10)</f>
        <v/>
      </c>
      <c r="R184" s="20"/>
      <c r="S184" s="23" t="str">
        <f aca="true">IF($B184="","",IF(AND($N184="Y",$P184="Y",$R184="Y"),"Done",IF(OR(AND($M184&lt;=TODAY(),$N184&lt;&gt;"Y"),AND($O184&lt;=TODAY(),$P184&lt;&gt;"Y"),AND($Q184&lt;=TODAY(),$R184&lt;&gt;"Y")),"DUE","Scheduled")))</f>
        <v/>
      </c>
      <c r="T184" s="20"/>
      <c r="U184" s="23" t="str">
        <f aca="false">IF($B184="","",IF(OR($T184&lt;=2,$I184="Editorial"),"REDO",""))</f>
        <v/>
      </c>
      <c r="V184" s="18" t="str">
        <f aca="false">IF($S184&lt;&gt;"DUE","",COUNTIF($S$3:$S184,"DUE"))</f>
        <v/>
      </c>
    </row>
    <row r="185" customFormat="false" ht="15" hidden="false" customHeight="false" outlineLevel="0" collapsed="false">
      <c r="A185" s="12" t="str">
        <f aca="false">IF($F185="","",ROW()-2)</f>
        <v/>
      </c>
      <c r="B185" s="19"/>
      <c r="C185" s="20"/>
      <c r="D185" s="21"/>
      <c r="E185" s="21"/>
      <c r="F185" s="21"/>
      <c r="G185" s="20"/>
      <c r="H185" s="21"/>
      <c r="I185" s="20"/>
      <c r="J185" s="20"/>
      <c r="K185" s="21"/>
      <c r="L185" s="21"/>
      <c r="M185" s="22" t="str">
        <f aca="false">IF($B185="","",$B185+2)</f>
        <v/>
      </c>
      <c r="N185" s="20"/>
      <c r="O185" s="22" t="str">
        <f aca="false">IF($B185="","",$B185+5)</f>
        <v/>
      </c>
      <c r="P185" s="20"/>
      <c r="Q185" s="22" t="str">
        <f aca="false">IF($B185="","",$B185+10)</f>
        <v/>
      </c>
      <c r="R185" s="20"/>
      <c r="S185" s="23" t="str">
        <f aca="true">IF($B185="","",IF(AND($N185="Y",$P185="Y",$R185="Y"),"Done",IF(OR(AND($M185&lt;=TODAY(),$N185&lt;&gt;"Y"),AND($O185&lt;=TODAY(),$P185&lt;&gt;"Y"),AND($Q185&lt;=TODAY(),$R185&lt;&gt;"Y")),"DUE","Scheduled")))</f>
        <v/>
      </c>
      <c r="T185" s="20"/>
      <c r="U185" s="23" t="str">
        <f aca="false">IF($B185="","",IF(OR($T185&lt;=2,$I185="Editorial"),"REDO",""))</f>
        <v/>
      </c>
      <c r="V185" s="18" t="str">
        <f aca="false">IF($S185&lt;&gt;"DUE","",COUNTIF($S$3:$S185,"DUE"))</f>
        <v/>
      </c>
    </row>
    <row r="186" customFormat="false" ht="15" hidden="false" customHeight="false" outlineLevel="0" collapsed="false">
      <c r="A186" s="12" t="str">
        <f aca="false">IF($F186="","",ROW()-2)</f>
        <v/>
      </c>
      <c r="B186" s="19"/>
      <c r="C186" s="20"/>
      <c r="D186" s="21"/>
      <c r="E186" s="21"/>
      <c r="F186" s="21"/>
      <c r="G186" s="20"/>
      <c r="H186" s="21"/>
      <c r="I186" s="20"/>
      <c r="J186" s="20"/>
      <c r="K186" s="21"/>
      <c r="L186" s="21"/>
      <c r="M186" s="22" t="str">
        <f aca="false">IF($B186="","",$B186+2)</f>
        <v/>
      </c>
      <c r="N186" s="20"/>
      <c r="O186" s="22" t="str">
        <f aca="false">IF($B186="","",$B186+5)</f>
        <v/>
      </c>
      <c r="P186" s="20"/>
      <c r="Q186" s="22" t="str">
        <f aca="false">IF($B186="","",$B186+10)</f>
        <v/>
      </c>
      <c r="R186" s="20"/>
      <c r="S186" s="23" t="str">
        <f aca="true">IF($B186="","",IF(AND($N186="Y",$P186="Y",$R186="Y"),"Done",IF(OR(AND($M186&lt;=TODAY(),$N186&lt;&gt;"Y"),AND($O186&lt;=TODAY(),$P186&lt;&gt;"Y"),AND($Q186&lt;=TODAY(),$R186&lt;&gt;"Y")),"DUE","Scheduled")))</f>
        <v/>
      </c>
      <c r="T186" s="20"/>
      <c r="U186" s="23" t="str">
        <f aca="false">IF($B186="","",IF(OR($T186&lt;=2,$I186="Editorial"),"REDO",""))</f>
        <v/>
      </c>
      <c r="V186" s="18" t="str">
        <f aca="false">IF($S186&lt;&gt;"DUE","",COUNTIF($S$3:$S186,"DUE"))</f>
        <v/>
      </c>
    </row>
    <row r="187" customFormat="false" ht="15" hidden="false" customHeight="false" outlineLevel="0" collapsed="false">
      <c r="A187" s="12" t="str">
        <f aca="false">IF($F187="","",ROW()-2)</f>
        <v/>
      </c>
      <c r="B187" s="19"/>
      <c r="C187" s="20"/>
      <c r="D187" s="21"/>
      <c r="E187" s="21"/>
      <c r="F187" s="21"/>
      <c r="G187" s="20"/>
      <c r="H187" s="21"/>
      <c r="I187" s="20"/>
      <c r="J187" s="20"/>
      <c r="K187" s="21"/>
      <c r="L187" s="21"/>
      <c r="M187" s="22" t="str">
        <f aca="false">IF($B187="","",$B187+2)</f>
        <v/>
      </c>
      <c r="N187" s="20"/>
      <c r="O187" s="22" t="str">
        <f aca="false">IF($B187="","",$B187+5)</f>
        <v/>
      </c>
      <c r="P187" s="20"/>
      <c r="Q187" s="22" t="str">
        <f aca="false">IF($B187="","",$B187+10)</f>
        <v/>
      </c>
      <c r="R187" s="20"/>
      <c r="S187" s="23" t="str">
        <f aca="true">IF($B187="","",IF(AND($N187="Y",$P187="Y",$R187="Y"),"Done",IF(OR(AND($M187&lt;=TODAY(),$N187&lt;&gt;"Y"),AND($O187&lt;=TODAY(),$P187&lt;&gt;"Y"),AND($Q187&lt;=TODAY(),$R187&lt;&gt;"Y")),"DUE","Scheduled")))</f>
        <v/>
      </c>
      <c r="T187" s="20"/>
      <c r="U187" s="23" t="str">
        <f aca="false">IF($B187="","",IF(OR($T187&lt;=2,$I187="Editorial"),"REDO",""))</f>
        <v/>
      </c>
      <c r="V187" s="18" t="str">
        <f aca="false">IF($S187&lt;&gt;"DUE","",COUNTIF($S$3:$S187,"DUE"))</f>
        <v/>
      </c>
    </row>
    <row r="188" customFormat="false" ht="15" hidden="false" customHeight="false" outlineLevel="0" collapsed="false">
      <c r="A188" s="12" t="str">
        <f aca="false">IF($F188="","",ROW()-2)</f>
        <v/>
      </c>
      <c r="B188" s="19"/>
      <c r="C188" s="20"/>
      <c r="D188" s="21"/>
      <c r="E188" s="21"/>
      <c r="F188" s="21"/>
      <c r="G188" s="20"/>
      <c r="H188" s="21"/>
      <c r="I188" s="20"/>
      <c r="J188" s="20"/>
      <c r="K188" s="21"/>
      <c r="L188" s="21"/>
      <c r="M188" s="22" t="str">
        <f aca="false">IF($B188="","",$B188+2)</f>
        <v/>
      </c>
      <c r="N188" s="20"/>
      <c r="O188" s="22" t="str">
        <f aca="false">IF($B188="","",$B188+5)</f>
        <v/>
      </c>
      <c r="P188" s="20"/>
      <c r="Q188" s="22" t="str">
        <f aca="false">IF($B188="","",$B188+10)</f>
        <v/>
      </c>
      <c r="R188" s="20"/>
      <c r="S188" s="23" t="str">
        <f aca="true">IF($B188="","",IF(AND($N188="Y",$P188="Y",$R188="Y"),"Done",IF(OR(AND($M188&lt;=TODAY(),$N188&lt;&gt;"Y"),AND($O188&lt;=TODAY(),$P188&lt;&gt;"Y"),AND($Q188&lt;=TODAY(),$R188&lt;&gt;"Y")),"DUE","Scheduled")))</f>
        <v/>
      </c>
      <c r="T188" s="20"/>
      <c r="U188" s="23" t="str">
        <f aca="false">IF($B188="","",IF(OR($T188&lt;=2,$I188="Editorial"),"REDO",""))</f>
        <v/>
      </c>
      <c r="V188" s="18" t="str">
        <f aca="false">IF($S188&lt;&gt;"DUE","",COUNTIF($S$3:$S188,"DUE"))</f>
        <v/>
      </c>
    </row>
    <row r="189" customFormat="false" ht="15" hidden="false" customHeight="false" outlineLevel="0" collapsed="false">
      <c r="A189" s="12" t="str">
        <f aca="false">IF($F189="","",ROW()-2)</f>
        <v/>
      </c>
      <c r="B189" s="19"/>
      <c r="C189" s="20"/>
      <c r="D189" s="21"/>
      <c r="E189" s="21"/>
      <c r="F189" s="21"/>
      <c r="G189" s="20"/>
      <c r="H189" s="21"/>
      <c r="I189" s="20"/>
      <c r="J189" s="20"/>
      <c r="K189" s="21"/>
      <c r="L189" s="21"/>
      <c r="M189" s="22" t="str">
        <f aca="false">IF($B189="","",$B189+2)</f>
        <v/>
      </c>
      <c r="N189" s="20"/>
      <c r="O189" s="22" t="str">
        <f aca="false">IF($B189="","",$B189+5)</f>
        <v/>
      </c>
      <c r="P189" s="20"/>
      <c r="Q189" s="22" t="str">
        <f aca="false">IF($B189="","",$B189+10)</f>
        <v/>
      </c>
      <c r="R189" s="20"/>
      <c r="S189" s="23" t="str">
        <f aca="true">IF($B189="","",IF(AND($N189="Y",$P189="Y",$R189="Y"),"Done",IF(OR(AND($M189&lt;=TODAY(),$N189&lt;&gt;"Y"),AND($O189&lt;=TODAY(),$P189&lt;&gt;"Y"),AND($Q189&lt;=TODAY(),$R189&lt;&gt;"Y")),"DUE","Scheduled")))</f>
        <v/>
      </c>
      <c r="T189" s="20"/>
      <c r="U189" s="23" t="str">
        <f aca="false">IF($B189="","",IF(OR($T189&lt;=2,$I189="Editorial"),"REDO",""))</f>
        <v/>
      </c>
      <c r="V189" s="18" t="str">
        <f aca="false">IF($S189&lt;&gt;"DUE","",COUNTIF($S$3:$S189,"DUE"))</f>
        <v/>
      </c>
    </row>
    <row r="190" customFormat="false" ht="15" hidden="false" customHeight="false" outlineLevel="0" collapsed="false">
      <c r="A190" s="12" t="str">
        <f aca="false">IF($F190="","",ROW()-2)</f>
        <v/>
      </c>
      <c r="B190" s="19"/>
      <c r="C190" s="20"/>
      <c r="D190" s="21"/>
      <c r="E190" s="21"/>
      <c r="F190" s="21"/>
      <c r="G190" s="20"/>
      <c r="H190" s="21"/>
      <c r="I190" s="20"/>
      <c r="J190" s="20"/>
      <c r="K190" s="21"/>
      <c r="L190" s="21"/>
      <c r="M190" s="22" t="str">
        <f aca="false">IF($B190="","",$B190+2)</f>
        <v/>
      </c>
      <c r="N190" s="20"/>
      <c r="O190" s="22" t="str">
        <f aca="false">IF($B190="","",$B190+5)</f>
        <v/>
      </c>
      <c r="P190" s="20"/>
      <c r="Q190" s="22" t="str">
        <f aca="false">IF($B190="","",$B190+10)</f>
        <v/>
      </c>
      <c r="R190" s="20"/>
      <c r="S190" s="23" t="str">
        <f aca="true">IF($B190="","",IF(AND($N190="Y",$P190="Y",$R190="Y"),"Done",IF(OR(AND($M190&lt;=TODAY(),$N190&lt;&gt;"Y"),AND($O190&lt;=TODAY(),$P190&lt;&gt;"Y"),AND($Q190&lt;=TODAY(),$R190&lt;&gt;"Y")),"DUE","Scheduled")))</f>
        <v/>
      </c>
      <c r="T190" s="20"/>
      <c r="U190" s="23" t="str">
        <f aca="false">IF($B190="","",IF(OR($T190&lt;=2,$I190="Editorial"),"REDO",""))</f>
        <v/>
      </c>
      <c r="V190" s="18" t="str">
        <f aca="false">IF($S190&lt;&gt;"DUE","",COUNTIF($S$3:$S190,"DUE"))</f>
        <v/>
      </c>
    </row>
    <row r="191" customFormat="false" ht="15" hidden="false" customHeight="false" outlineLevel="0" collapsed="false">
      <c r="A191" s="12" t="str">
        <f aca="false">IF($F191="","",ROW()-2)</f>
        <v/>
      </c>
      <c r="B191" s="19"/>
      <c r="C191" s="20"/>
      <c r="D191" s="21"/>
      <c r="E191" s="21"/>
      <c r="F191" s="21"/>
      <c r="G191" s="20"/>
      <c r="H191" s="21"/>
      <c r="I191" s="20"/>
      <c r="J191" s="20"/>
      <c r="K191" s="21"/>
      <c r="L191" s="21"/>
      <c r="M191" s="22" t="str">
        <f aca="false">IF($B191="","",$B191+2)</f>
        <v/>
      </c>
      <c r="N191" s="20"/>
      <c r="O191" s="22" t="str">
        <f aca="false">IF($B191="","",$B191+5)</f>
        <v/>
      </c>
      <c r="P191" s="20"/>
      <c r="Q191" s="22" t="str">
        <f aca="false">IF($B191="","",$B191+10)</f>
        <v/>
      </c>
      <c r="R191" s="20"/>
      <c r="S191" s="23" t="str">
        <f aca="true">IF($B191="","",IF(AND($N191="Y",$P191="Y",$R191="Y"),"Done",IF(OR(AND($M191&lt;=TODAY(),$N191&lt;&gt;"Y"),AND($O191&lt;=TODAY(),$P191&lt;&gt;"Y"),AND($Q191&lt;=TODAY(),$R191&lt;&gt;"Y")),"DUE","Scheduled")))</f>
        <v/>
      </c>
      <c r="T191" s="20"/>
      <c r="U191" s="23" t="str">
        <f aca="false">IF($B191="","",IF(OR($T191&lt;=2,$I191="Editorial"),"REDO",""))</f>
        <v/>
      </c>
      <c r="V191" s="18" t="str">
        <f aca="false">IF($S191&lt;&gt;"DUE","",COUNTIF($S$3:$S191,"DUE"))</f>
        <v/>
      </c>
    </row>
    <row r="192" customFormat="false" ht="15" hidden="false" customHeight="false" outlineLevel="0" collapsed="false">
      <c r="A192" s="12" t="str">
        <f aca="false">IF($F192="","",ROW()-2)</f>
        <v/>
      </c>
      <c r="B192" s="19"/>
      <c r="C192" s="20"/>
      <c r="D192" s="21"/>
      <c r="E192" s="21"/>
      <c r="F192" s="21"/>
      <c r="G192" s="20"/>
      <c r="H192" s="21"/>
      <c r="I192" s="20"/>
      <c r="J192" s="20"/>
      <c r="K192" s="21"/>
      <c r="L192" s="21"/>
      <c r="M192" s="22" t="str">
        <f aca="false">IF($B192="","",$B192+2)</f>
        <v/>
      </c>
      <c r="N192" s="20"/>
      <c r="O192" s="22" t="str">
        <f aca="false">IF($B192="","",$B192+5)</f>
        <v/>
      </c>
      <c r="P192" s="20"/>
      <c r="Q192" s="22" t="str">
        <f aca="false">IF($B192="","",$B192+10)</f>
        <v/>
      </c>
      <c r="R192" s="20"/>
      <c r="S192" s="23" t="str">
        <f aca="true">IF($B192="","",IF(AND($N192="Y",$P192="Y",$R192="Y"),"Done",IF(OR(AND($M192&lt;=TODAY(),$N192&lt;&gt;"Y"),AND($O192&lt;=TODAY(),$P192&lt;&gt;"Y"),AND($Q192&lt;=TODAY(),$R192&lt;&gt;"Y")),"DUE","Scheduled")))</f>
        <v/>
      </c>
      <c r="T192" s="20"/>
      <c r="U192" s="23" t="str">
        <f aca="false">IF($B192="","",IF(OR($T192&lt;=2,$I192="Editorial"),"REDO",""))</f>
        <v/>
      </c>
      <c r="V192" s="18" t="str">
        <f aca="false">IF($S192&lt;&gt;"DUE","",COUNTIF($S$3:$S192,"DUE"))</f>
        <v/>
      </c>
    </row>
    <row r="193" customFormat="false" ht="15" hidden="false" customHeight="false" outlineLevel="0" collapsed="false">
      <c r="A193" s="12" t="str">
        <f aca="false">IF($F193="","",ROW()-2)</f>
        <v/>
      </c>
      <c r="B193" s="19"/>
      <c r="C193" s="20"/>
      <c r="D193" s="21"/>
      <c r="E193" s="21"/>
      <c r="F193" s="21"/>
      <c r="G193" s="20"/>
      <c r="H193" s="21"/>
      <c r="I193" s="20"/>
      <c r="J193" s="20"/>
      <c r="K193" s="21"/>
      <c r="L193" s="21"/>
      <c r="M193" s="22" t="str">
        <f aca="false">IF($B193="","",$B193+2)</f>
        <v/>
      </c>
      <c r="N193" s="20"/>
      <c r="O193" s="22" t="str">
        <f aca="false">IF($B193="","",$B193+5)</f>
        <v/>
      </c>
      <c r="P193" s="20"/>
      <c r="Q193" s="22" t="str">
        <f aca="false">IF($B193="","",$B193+10)</f>
        <v/>
      </c>
      <c r="R193" s="20"/>
      <c r="S193" s="23" t="str">
        <f aca="true">IF($B193="","",IF(AND($N193="Y",$P193="Y",$R193="Y"),"Done",IF(OR(AND($M193&lt;=TODAY(),$N193&lt;&gt;"Y"),AND($O193&lt;=TODAY(),$P193&lt;&gt;"Y"),AND($Q193&lt;=TODAY(),$R193&lt;&gt;"Y")),"DUE","Scheduled")))</f>
        <v/>
      </c>
      <c r="T193" s="20"/>
      <c r="U193" s="23" t="str">
        <f aca="false">IF($B193="","",IF(OR($T193&lt;=2,$I193="Editorial"),"REDO",""))</f>
        <v/>
      </c>
      <c r="V193" s="18" t="str">
        <f aca="false">IF($S193&lt;&gt;"DUE","",COUNTIF($S$3:$S193,"DUE"))</f>
        <v/>
      </c>
    </row>
    <row r="194" customFormat="false" ht="15" hidden="false" customHeight="false" outlineLevel="0" collapsed="false">
      <c r="A194" s="12" t="str">
        <f aca="false">IF($F194="","",ROW()-2)</f>
        <v/>
      </c>
      <c r="B194" s="19"/>
      <c r="C194" s="20"/>
      <c r="D194" s="21"/>
      <c r="E194" s="21"/>
      <c r="F194" s="21"/>
      <c r="G194" s="20"/>
      <c r="H194" s="21"/>
      <c r="I194" s="20"/>
      <c r="J194" s="20"/>
      <c r="K194" s="21"/>
      <c r="L194" s="21"/>
      <c r="M194" s="22" t="str">
        <f aca="false">IF($B194="","",$B194+2)</f>
        <v/>
      </c>
      <c r="N194" s="20"/>
      <c r="O194" s="22" t="str">
        <f aca="false">IF($B194="","",$B194+5)</f>
        <v/>
      </c>
      <c r="P194" s="20"/>
      <c r="Q194" s="22" t="str">
        <f aca="false">IF($B194="","",$B194+10)</f>
        <v/>
      </c>
      <c r="R194" s="20"/>
      <c r="S194" s="23" t="str">
        <f aca="true">IF($B194="","",IF(AND($N194="Y",$P194="Y",$R194="Y"),"Done",IF(OR(AND($M194&lt;=TODAY(),$N194&lt;&gt;"Y"),AND($O194&lt;=TODAY(),$P194&lt;&gt;"Y"),AND($Q194&lt;=TODAY(),$R194&lt;&gt;"Y")),"DUE","Scheduled")))</f>
        <v/>
      </c>
      <c r="T194" s="20"/>
      <c r="U194" s="23" t="str">
        <f aca="false">IF($B194="","",IF(OR($T194&lt;=2,$I194="Editorial"),"REDO",""))</f>
        <v/>
      </c>
      <c r="V194" s="18" t="str">
        <f aca="false">IF($S194&lt;&gt;"DUE","",COUNTIF($S$3:$S194,"DUE"))</f>
        <v/>
      </c>
    </row>
    <row r="195" customFormat="false" ht="15" hidden="false" customHeight="false" outlineLevel="0" collapsed="false">
      <c r="A195" s="12" t="str">
        <f aca="false">IF($F195="","",ROW()-2)</f>
        <v/>
      </c>
      <c r="B195" s="19"/>
      <c r="C195" s="20"/>
      <c r="D195" s="21"/>
      <c r="E195" s="21"/>
      <c r="F195" s="21"/>
      <c r="G195" s="20"/>
      <c r="H195" s="21"/>
      <c r="I195" s="20"/>
      <c r="J195" s="20"/>
      <c r="K195" s="21"/>
      <c r="L195" s="21"/>
      <c r="M195" s="22" t="str">
        <f aca="false">IF($B195="","",$B195+2)</f>
        <v/>
      </c>
      <c r="N195" s="20"/>
      <c r="O195" s="22" t="str">
        <f aca="false">IF($B195="","",$B195+5)</f>
        <v/>
      </c>
      <c r="P195" s="20"/>
      <c r="Q195" s="22" t="str">
        <f aca="false">IF($B195="","",$B195+10)</f>
        <v/>
      </c>
      <c r="R195" s="20"/>
      <c r="S195" s="23" t="str">
        <f aca="true">IF($B195="","",IF(AND($N195="Y",$P195="Y",$R195="Y"),"Done",IF(OR(AND($M195&lt;=TODAY(),$N195&lt;&gt;"Y"),AND($O195&lt;=TODAY(),$P195&lt;&gt;"Y"),AND($Q195&lt;=TODAY(),$R195&lt;&gt;"Y")),"DUE","Scheduled")))</f>
        <v/>
      </c>
      <c r="T195" s="20"/>
      <c r="U195" s="23" t="str">
        <f aca="false">IF($B195="","",IF(OR($T195&lt;=2,$I195="Editorial"),"REDO",""))</f>
        <v/>
      </c>
      <c r="V195" s="18" t="str">
        <f aca="false">IF($S195&lt;&gt;"DUE","",COUNTIF($S$3:$S195,"DUE"))</f>
        <v/>
      </c>
    </row>
    <row r="196" customFormat="false" ht="15" hidden="false" customHeight="false" outlineLevel="0" collapsed="false">
      <c r="A196" s="12" t="str">
        <f aca="false">IF($F196="","",ROW()-2)</f>
        <v/>
      </c>
      <c r="B196" s="19"/>
      <c r="C196" s="20"/>
      <c r="D196" s="21"/>
      <c r="E196" s="21"/>
      <c r="F196" s="21"/>
      <c r="G196" s="20"/>
      <c r="H196" s="21"/>
      <c r="I196" s="20"/>
      <c r="J196" s="20"/>
      <c r="K196" s="21"/>
      <c r="L196" s="21"/>
      <c r="M196" s="22" t="str">
        <f aca="false">IF($B196="","",$B196+2)</f>
        <v/>
      </c>
      <c r="N196" s="20"/>
      <c r="O196" s="22" t="str">
        <f aca="false">IF($B196="","",$B196+5)</f>
        <v/>
      </c>
      <c r="P196" s="20"/>
      <c r="Q196" s="22" t="str">
        <f aca="false">IF($B196="","",$B196+10)</f>
        <v/>
      </c>
      <c r="R196" s="20"/>
      <c r="S196" s="23" t="str">
        <f aca="true">IF($B196="","",IF(AND($N196="Y",$P196="Y",$R196="Y"),"Done",IF(OR(AND($M196&lt;=TODAY(),$N196&lt;&gt;"Y"),AND($O196&lt;=TODAY(),$P196&lt;&gt;"Y"),AND($Q196&lt;=TODAY(),$R196&lt;&gt;"Y")),"DUE","Scheduled")))</f>
        <v/>
      </c>
      <c r="T196" s="20"/>
      <c r="U196" s="23" t="str">
        <f aca="false">IF($B196="","",IF(OR($T196&lt;=2,$I196="Editorial"),"REDO",""))</f>
        <v/>
      </c>
      <c r="V196" s="18" t="str">
        <f aca="false">IF($S196&lt;&gt;"DUE","",COUNTIF($S$3:$S196,"DUE"))</f>
        <v/>
      </c>
    </row>
    <row r="197" customFormat="false" ht="15" hidden="false" customHeight="false" outlineLevel="0" collapsed="false">
      <c r="A197" s="12" t="str">
        <f aca="false">IF($F197="","",ROW()-2)</f>
        <v/>
      </c>
      <c r="B197" s="19"/>
      <c r="C197" s="20"/>
      <c r="D197" s="21"/>
      <c r="E197" s="21"/>
      <c r="F197" s="21"/>
      <c r="G197" s="20"/>
      <c r="H197" s="21"/>
      <c r="I197" s="20"/>
      <c r="J197" s="20"/>
      <c r="K197" s="21"/>
      <c r="L197" s="21"/>
      <c r="M197" s="22" t="str">
        <f aca="false">IF($B197="","",$B197+2)</f>
        <v/>
      </c>
      <c r="N197" s="20"/>
      <c r="O197" s="22" t="str">
        <f aca="false">IF($B197="","",$B197+5)</f>
        <v/>
      </c>
      <c r="P197" s="20"/>
      <c r="Q197" s="22" t="str">
        <f aca="false">IF($B197="","",$B197+10)</f>
        <v/>
      </c>
      <c r="R197" s="20"/>
      <c r="S197" s="23" t="str">
        <f aca="true">IF($B197="","",IF(AND($N197="Y",$P197="Y",$R197="Y"),"Done",IF(OR(AND($M197&lt;=TODAY(),$N197&lt;&gt;"Y"),AND($O197&lt;=TODAY(),$P197&lt;&gt;"Y"),AND($Q197&lt;=TODAY(),$R197&lt;&gt;"Y")),"DUE","Scheduled")))</f>
        <v/>
      </c>
      <c r="T197" s="20"/>
      <c r="U197" s="23" t="str">
        <f aca="false">IF($B197="","",IF(OR($T197&lt;=2,$I197="Editorial"),"REDO",""))</f>
        <v/>
      </c>
      <c r="V197" s="18" t="str">
        <f aca="false">IF($S197&lt;&gt;"DUE","",COUNTIF($S$3:$S197,"DUE"))</f>
        <v/>
      </c>
    </row>
    <row r="198" customFormat="false" ht="15" hidden="false" customHeight="false" outlineLevel="0" collapsed="false">
      <c r="A198" s="12" t="str">
        <f aca="false">IF($F198="","",ROW()-2)</f>
        <v/>
      </c>
      <c r="B198" s="19"/>
      <c r="C198" s="20"/>
      <c r="D198" s="21"/>
      <c r="E198" s="21"/>
      <c r="F198" s="21"/>
      <c r="G198" s="20"/>
      <c r="H198" s="21"/>
      <c r="I198" s="20"/>
      <c r="J198" s="20"/>
      <c r="K198" s="21"/>
      <c r="L198" s="21"/>
      <c r="M198" s="22" t="str">
        <f aca="false">IF($B198="","",$B198+2)</f>
        <v/>
      </c>
      <c r="N198" s="20"/>
      <c r="O198" s="22" t="str">
        <f aca="false">IF($B198="","",$B198+5)</f>
        <v/>
      </c>
      <c r="P198" s="20"/>
      <c r="Q198" s="22" t="str">
        <f aca="false">IF($B198="","",$B198+10)</f>
        <v/>
      </c>
      <c r="R198" s="20"/>
      <c r="S198" s="23" t="str">
        <f aca="true">IF($B198="","",IF(AND($N198="Y",$P198="Y",$R198="Y"),"Done",IF(OR(AND($M198&lt;=TODAY(),$N198&lt;&gt;"Y"),AND($O198&lt;=TODAY(),$P198&lt;&gt;"Y"),AND($Q198&lt;=TODAY(),$R198&lt;&gt;"Y")),"DUE","Scheduled")))</f>
        <v/>
      </c>
      <c r="T198" s="20"/>
      <c r="U198" s="23" t="str">
        <f aca="false">IF($B198="","",IF(OR($T198&lt;=2,$I198="Editorial"),"REDO",""))</f>
        <v/>
      </c>
      <c r="V198" s="18" t="str">
        <f aca="false">IF($S198&lt;&gt;"DUE","",COUNTIF($S$3:$S198,"DUE"))</f>
        <v/>
      </c>
    </row>
    <row r="199" customFormat="false" ht="15" hidden="false" customHeight="false" outlineLevel="0" collapsed="false">
      <c r="A199" s="12" t="str">
        <f aca="false">IF($F199="","",ROW()-2)</f>
        <v/>
      </c>
      <c r="B199" s="19"/>
      <c r="C199" s="20"/>
      <c r="D199" s="21"/>
      <c r="E199" s="21"/>
      <c r="F199" s="21"/>
      <c r="G199" s="20"/>
      <c r="H199" s="21"/>
      <c r="I199" s="20"/>
      <c r="J199" s="20"/>
      <c r="K199" s="21"/>
      <c r="L199" s="21"/>
      <c r="M199" s="22" t="str">
        <f aca="false">IF($B199="","",$B199+2)</f>
        <v/>
      </c>
      <c r="N199" s="20"/>
      <c r="O199" s="22" t="str">
        <f aca="false">IF($B199="","",$B199+5)</f>
        <v/>
      </c>
      <c r="P199" s="20"/>
      <c r="Q199" s="22" t="str">
        <f aca="false">IF($B199="","",$B199+10)</f>
        <v/>
      </c>
      <c r="R199" s="20"/>
      <c r="S199" s="23" t="str">
        <f aca="true">IF($B199="","",IF(AND($N199="Y",$P199="Y",$R199="Y"),"Done",IF(OR(AND($M199&lt;=TODAY(),$N199&lt;&gt;"Y"),AND($O199&lt;=TODAY(),$P199&lt;&gt;"Y"),AND($Q199&lt;=TODAY(),$R199&lt;&gt;"Y")),"DUE","Scheduled")))</f>
        <v/>
      </c>
      <c r="T199" s="20"/>
      <c r="U199" s="23" t="str">
        <f aca="false">IF($B199="","",IF(OR($T199&lt;=2,$I199="Editorial"),"REDO",""))</f>
        <v/>
      </c>
      <c r="V199" s="18" t="str">
        <f aca="false">IF($S199&lt;&gt;"DUE","",COUNTIF($S$3:$S199,"DUE"))</f>
        <v/>
      </c>
    </row>
    <row r="200" customFormat="false" ht="15" hidden="false" customHeight="false" outlineLevel="0" collapsed="false">
      <c r="A200" s="12" t="str">
        <f aca="false">IF($F200="","",ROW()-2)</f>
        <v/>
      </c>
      <c r="B200" s="19"/>
      <c r="C200" s="20"/>
      <c r="D200" s="21"/>
      <c r="E200" s="21"/>
      <c r="F200" s="21"/>
      <c r="G200" s="20"/>
      <c r="H200" s="21"/>
      <c r="I200" s="20"/>
      <c r="J200" s="20"/>
      <c r="K200" s="21"/>
      <c r="L200" s="21"/>
      <c r="M200" s="22" t="str">
        <f aca="false">IF($B200="","",$B200+2)</f>
        <v/>
      </c>
      <c r="N200" s="20"/>
      <c r="O200" s="22" t="str">
        <f aca="false">IF($B200="","",$B200+5)</f>
        <v/>
      </c>
      <c r="P200" s="20"/>
      <c r="Q200" s="22" t="str">
        <f aca="false">IF($B200="","",$B200+10)</f>
        <v/>
      </c>
      <c r="R200" s="20"/>
      <c r="S200" s="23" t="str">
        <f aca="true">IF($B200="","",IF(AND($N200="Y",$P200="Y",$R200="Y"),"Done",IF(OR(AND($M200&lt;=TODAY(),$N200&lt;&gt;"Y"),AND($O200&lt;=TODAY(),$P200&lt;&gt;"Y"),AND($Q200&lt;=TODAY(),$R200&lt;&gt;"Y")),"DUE","Scheduled")))</f>
        <v/>
      </c>
      <c r="T200" s="20"/>
      <c r="U200" s="23" t="str">
        <f aca="false">IF($B200="","",IF(OR($T200&lt;=2,$I200="Editorial"),"REDO",""))</f>
        <v/>
      </c>
      <c r="V200" s="18" t="str">
        <f aca="false">IF($S200&lt;&gt;"DUE","",COUNTIF($S$3:$S200,"DUE"))</f>
        <v/>
      </c>
    </row>
    <row r="201" customFormat="false" ht="15" hidden="false" customHeight="false" outlineLevel="0" collapsed="false">
      <c r="A201" s="12" t="str">
        <f aca="false">IF($F201="","",ROW()-2)</f>
        <v/>
      </c>
      <c r="B201" s="19"/>
      <c r="C201" s="20"/>
      <c r="D201" s="21"/>
      <c r="E201" s="21"/>
      <c r="F201" s="21"/>
      <c r="G201" s="20"/>
      <c r="H201" s="21"/>
      <c r="I201" s="20"/>
      <c r="J201" s="20"/>
      <c r="K201" s="21"/>
      <c r="L201" s="21"/>
      <c r="M201" s="22" t="str">
        <f aca="false">IF($B201="","",$B201+2)</f>
        <v/>
      </c>
      <c r="N201" s="20"/>
      <c r="O201" s="22" t="str">
        <f aca="false">IF($B201="","",$B201+5)</f>
        <v/>
      </c>
      <c r="P201" s="20"/>
      <c r="Q201" s="22" t="str">
        <f aca="false">IF($B201="","",$B201+10)</f>
        <v/>
      </c>
      <c r="R201" s="20"/>
      <c r="S201" s="23" t="str">
        <f aca="true">IF($B201="","",IF(AND($N201="Y",$P201="Y",$R201="Y"),"Done",IF(OR(AND($M201&lt;=TODAY(),$N201&lt;&gt;"Y"),AND($O201&lt;=TODAY(),$P201&lt;&gt;"Y"),AND($Q201&lt;=TODAY(),$R201&lt;&gt;"Y")),"DUE","Scheduled")))</f>
        <v/>
      </c>
      <c r="T201" s="20"/>
      <c r="U201" s="23" t="str">
        <f aca="false">IF($B201="","",IF(OR($T201&lt;=2,$I201="Editorial"),"REDO",""))</f>
        <v/>
      </c>
      <c r="V201" s="18" t="str">
        <f aca="false">IF($S201&lt;&gt;"DUE","",COUNTIF($S$3:$S201,"DUE"))</f>
        <v/>
      </c>
    </row>
    <row r="202" customFormat="false" ht="15" hidden="false" customHeight="false" outlineLevel="0" collapsed="false">
      <c r="A202" s="12" t="str">
        <f aca="false">IF($F202="","",ROW()-2)</f>
        <v/>
      </c>
      <c r="B202" s="19"/>
      <c r="C202" s="20"/>
      <c r="D202" s="21"/>
      <c r="E202" s="21"/>
      <c r="F202" s="21"/>
      <c r="G202" s="20"/>
      <c r="H202" s="21"/>
      <c r="I202" s="20"/>
      <c r="J202" s="20"/>
      <c r="K202" s="21"/>
      <c r="L202" s="21"/>
      <c r="M202" s="22" t="str">
        <f aca="false">IF($B202="","",$B202+2)</f>
        <v/>
      </c>
      <c r="N202" s="20"/>
      <c r="O202" s="22" t="str">
        <f aca="false">IF($B202="","",$B202+5)</f>
        <v/>
      </c>
      <c r="P202" s="20"/>
      <c r="Q202" s="22" t="str">
        <f aca="false">IF($B202="","",$B202+10)</f>
        <v/>
      </c>
      <c r="R202" s="20"/>
      <c r="S202" s="23" t="str">
        <f aca="true">IF($B202="","",IF(AND($N202="Y",$P202="Y",$R202="Y"),"Done",IF(OR(AND($M202&lt;=TODAY(),$N202&lt;&gt;"Y"),AND($O202&lt;=TODAY(),$P202&lt;&gt;"Y"),AND($Q202&lt;=TODAY(),$R202&lt;&gt;"Y")),"DUE","Scheduled")))</f>
        <v/>
      </c>
      <c r="T202" s="20"/>
      <c r="U202" s="23" t="str">
        <f aca="false">IF($B202="","",IF(OR($T202&lt;=2,$I202="Editorial"),"REDO",""))</f>
        <v/>
      </c>
      <c r="V202" s="18" t="str">
        <f aca="false">IF($S202&lt;&gt;"DUE","",COUNTIF($S$3:$S202,"DUE"))</f>
        <v/>
      </c>
    </row>
    <row r="203" customFormat="false" ht="15" hidden="false" customHeight="false" outlineLevel="0" collapsed="false">
      <c r="A203" s="12" t="str">
        <f aca="false">IF($F203="","",ROW()-2)</f>
        <v/>
      </c>
      <c r="B203" s="19"/>
      <c r="C203" s="20"/>
      <c r="D203" s="21"/>
      <c r="E203" s="21"/>
      <c r="F203" s="21"/>
      <c r="G203" s="20"/>
      <c r="H203" s="21"/>
      <c r="I203" s="20"/>
      <c r="J203" s="20"/>
      <c r="K203" s="21"/>
      <c r="L203" s="21"/>
      <c r="M203" s="22" t="str">
        <f aca="false">IF($B203="","",$B203+2)</f>
        <v/>
      </c>
      <c r="N203" s="20"/>
      <c r="O203" s="22" t="str">
        <f aca="false">IF($B203="","",$B203+5)</f>
        <v/>
      </c>
      <c r="P203" s="20"/>
      <c r="Q203" s="22" t="str">
        <f aca="false">IF($B203="","",$B203+10)</f>
        <v/>
      </c>
      <c r="R203" s="20"/>
      <c r="S203" s="23" t="str">
        <f aca="true">IF($B203="","",IF(AND($N203="Y",$P203="Y",$R203="Y"),"Done",IF(OR(AND($M203&lt;=TODAY(),$N203&lt;&gt;"Y"),AND($O203&lt;=TODAY(),$P203&lt;&gt;"Y"),AND($Q203&lt;=TODAY(),$R203&lt;&gt;"Y")),"DUE","Scheduled")))</f>
        <v/>
      </c>
      <c r="T203" s="20"/>
      <c r="U203" s="23" t="str">
        <f aca="false">IF($B203="","",IF(OR($T203&lt;=2,$I203="Editorial"),"REDO",""))</f>
        <v/>
      </c>
      <c r="V203" s="18" t="str">
        <f aca="false">IF($S203&lt;&gt;"DUE","",COUNTIF($S$3:$S203,"DUE"))</f>
        <v/>
      </c>
    </row>
    <row r="204" customFormat="false" ht="15" hidden="false" customHeight="false" outlineLevel="0" collapsed="false">
      <c r="A204" s="12" t="str">
        <f aca="false">IF($F204="","",ROW()-2)</f>
        <v/>
      </c>
      <c r="B204" s="19"/>
      <c r="C204" s="20"/>
      <c r="D204" s="21"/>
      <c r="E204" s="21"/>
      <c r="F204" s="21"/>
      <c r="G204" s="20"/>
      <c r="H204" s="21"/>
      <c r="I204" s="20"/>
      <c r="J204" s="20"/>
      <c r="K204" s="21"/>
      <c r="L204" s="21"/>
      <c r="M204" s="22" t="str">
        <f aca="false">IF($B204="","",$B204+2)</f>
        <v/>
      </c>
      <c r="N204" s="20"/>
      <c r="O204" s="22" t="str">
        <f aca="false">IF($B204="","",$B204+5)</f>
        <v/>
      </c>
      <c r="P204" s="20"/>
      <c r="Q204" s="22" t="str">
        <f aca="false">IF($B204="","",$B204+10)</f>
        <v/>
      </c>
      <c r="R204" s="20"/>
      <c r="S204" s="23" t="str">
        <f aca="true">IF($B204="","",IF(AND($N204="Y",$P204="Y",$R204="Y"),"Done",IF(OR(AND($M204&lt;=TODAY(),$N204&lt;&gt;"Y"),AND($O204&lt;=TODAY(),$P204&lt;&gt;"Y"),AND($Q204&lt;=TODAY(),$R204&lt;&gt;"Y")),"DUE","Scheduled")))</f>
        <v/>
      </c>
      <c r="T204" s="20"/>
      <c r="U204" s="23" t="str">
        <f aca="false">IF($B204="","",IF(OR($T204&lt;=2,$I204="Editorial"),"REDO",""))</f>
        <v/>
      </c>
      <c r="V204" s="18" t="str">
        <f aca="false">IF($S204&lt;&gt;"DUE","",COUNTIF($S$3:$S204,"DUE"))</f>
        <v/>
      </c>
    </row>
    <row r="205" customFormat="false" ht="15" hidden="false" customHeight="false" outlineLevel="0" collapsed="false">
      <c r="A205" s="12" t="str">
        <f aca="false">IF($F205="","",ROW()-2)</f>
        <v/>
      </c>
      <c r="B205" s="19"/>
      <c r="C205" s="20"/>
      <c r="D205" s="21"/>
      <c r="E205" s="21"/>
      <c r="F205" s="21"/>
      <c r="G205" s="20"/>
      <c r="H205" s="21"/>
      <c r="I205" s="20"/>
      <c r="J205" s="20"/>
      <c r="K205" s="21"/>
      <c r="L205" s="21"/>
      <c r="M205" s="22" t="str">
        <f aca="false">IF($B205="","",$B205+2)</f>
        <v/>
      </c>
      <c r="N205" s="20"/>
      <c r="O205" s="22" t="str">
        <f aca="false">IF($B205="","",$B205+5)</f>
        <v/>
      </c>
      <c r="P205" s="20"/>
      <c r="Q205" s="22" t="str">
        <f aca="false">IF($B205="","",$B205+10)</f>
        <v/>
      </c>
      <c r="R205" s="20"/>
      <c r="S205" s="23" t="str">
        <f aca="true">IF($B205="","",IF(AND($N205="Y",$P205="Y",$R205="Y"),"Done",IF(OR(AND($M205&lt;=TODAY(),$N205&lt;&gt;"Y"),AND($O205&lt;=TODAY(),$P205&lt;&gt;"Y"),AND($Q205&lt;=TODAY(),$R205&lt;&gt;"Y")),"DUE","Scheduled")))</f>
        <v/>
      </c>
      <c r="T205" s="20"/>
      <c r="U205" s="23" t="str">
        <f aca="false">IF($B205="","",IF(OR($T205&lt;=2,$I205="Editorial"),"REDO",""))</f>
        <v/>
      </c>
      <c r="V205" s="18" t="str">
        <f aca="false">IF($S205&lt;&gt;"DUE","",COUNTIF($S$3:$S205,"DUE"))</f>
        <v/>
      </c>
    </row>
    <row r="206" customFormat="false" ht="15" hidden="false" customHeight="false" outlineLevel="0" collapsed="false">
      <c r="A206" s="12" t="str">
        <f aca="false">IF($F206="","",ROW()-2)</f>
        <v/>
      </c>
      <c r="B206" s="19"/>
      <c r="C206" s="20"/>
      <c r="D206" s="21"/>
      <c r="E206" s="21"/>
      <c r="F206" s="21"/>
      <c r="G206" s="20"/>
      <c r="H206" s="21"/>
      <c r="I206" s="20"/>
      <c r="J206" s="20"/>
      <c r="K206" s="21"/>
      <c r="L206" s="21"/>
      <c r="M206" s="22" t="str">
        <f aca="false">IF($B206="","",$B206+2)</f>
        <v/>
      </c>
      <c r="N206" s="20"/>
      <c r="O206" s="22" t="str">
        <f aca="false">IF($B206="","",$B206+5)</f>
        <v/>
      </c>
      <c r="P206" s="20"/>
      <c r="Q206" s="22" t="str">
        <f aca="false">IF($B206="","",$B206+10)</f>
        <v/>
      </c>
      <c r="R206" s="20"/>
      <c r="S206" s="23" t="str">
        <f aca="true">IF($B206="","",IF(AND($N206="Y",$P206="Y",$R206="Y"),"Done",IF(OR(AND($M206&lt;=TODAY(),$N206&lt;&gt;"Y"),AND($O206&lt;=TODAY(),$P206&lt;&gt;"Y"),AND($Q206&lt;=TODAY(),$R206&lt;&gt;"Y")),"DUE","Scheduled")))</f>
        <v/>
      </c>
      <c r="T206" s="20"/>
      <c r="U206" s="23" t="str">
        <f aca="false">IF($B206="","",IF(OR($T206&lt;=2,$I206="Editorial"),"REDO",""))</f>
        <v/>
      </c>
      <c r="V206" s="18" t="str">
        <f aca="false">IF($S206&lt;&gt;"DUE","",COUNTIF($S$3:$S206,"DUE"))</f>
        <v/>
      </c>
    </row>
    <row r="207" customFormat="false" ht="15" hidden="false" customHeight="false" outlineLevel="0" collapsed="false">
      <c r="A207" s="12" t="str">
        <f aca="false">IF($F207="","",ROW()-2)</f>
        <v/>
      </c>
      <c r="B207" s="19"/>
      <c r="C207" s="20"/>
      <c r="D207" s="21"/>
      <c r="E207" s="21"/>
      <c r="F207" s="21"/>
      <c r="G207" s="20"/>
      <c r="H207" s="21"/>
      <c r="I207" s="20"/>
      <c r="J207" s="20"/>
      <c r="K207" s="21"/>
      <c r="L207" s="21"/>
      <c r="M207" s="22" t="str">
        <f aca="false">IF($B207="","",$B207+2)</f>
        <v/>
      </c>
      <c r="N207" s="20"/>
      <c r="O207" s="22" t="str">
        <f aca="false">IF($B207="","",$B207+5)</f>
        <v/>
      </c>
      <c r="P207" s="20"/>
      <c r="Q207" s="22" t="str">
        <f aca="false">IF($B207="","",$B207+10)</f>
        <v/>
      </c>
      <c r="R207" s="20"/>
      <c r="S207" s="23" t="str">
        <f aca="true">IF($B207="","",IF(AND($N207="Y",$P207="Y",$R207="Y"),"Done",IF(OR(AND($M207&lt;=TODAY(),$N207&lt;&gt;"Y"),AND($O207&lt;=TODAY(),$P207&lt;&gt;"Y"),AND($Q207&lt;=TODAY(),$R207&lt;&gt;"Y")),"DUE","Scheduled")))</f>
        <v/>
      </c>
      <c r="T207" s="20"/>
      <c r="U207" s="23" t="str">
        <f aca="false">IF($B207="","",IF(OR($T207&lt;=2,$I207="Editorial"),"REDO",""))</f>
        <v/>
      </c>
      <c r="V207" s="18" t="str">
        <f aca="false">IF($S207&lt;&gt;"DUE","",COUNTIF($S$3:$S207,"DUE"))</f>
        <v/>
      </c>
    </row>
    <row r="208" customFormat="false" ht="15" hidden="false" customHeight="false" outlineLevel="0" collapsed="false">
      <c r="A208" s="12" t="str">
        <f aca="false">IF($F208="","",ROW()-2)</f>
        <v/>
      </c>
      <c r="B208" s="19"/>
      <c r="C208" s="20"/>
      <c r="D208" s="21"/>
      <c r="E208" s="21"/>
      <c r="F208" s="21"/>
      <c r="G208" s="20"/>
      <c r="H208" s="21"/>
      <c r="I208" s="20"/>
      <c r="J208" s="20"/>
      <c r="K208" s="21"/>
      <c r="L208" s="21"/>
      <c r="M208" s="22" t="str">
        <f aca="false">IF($B208="","",$B208+2)</f>
        <v/>
      </c>
      <c r="N208" s="20"/>
      <c r="O208" s="22" t="str">
        <f aca="false">IF($B208="","",$B208+5)</f>
        <v/>
      </c>
      <c r="P208" s="20"/>
      <c r="Q208" s="22" t="str">
        <f aca="false">IF($B208="","",$B208+10)</f>
        <v/>
      </c>
      <c r="R208" s="20"/>
      <c r="S208" s="23" t="str">
        <f aca="true">IF($B208="","",IF(AND($N208="Y",$P208="Y",$R208="Y"),"Done",IF(OR(AND($M208&lt;=TODAY(),$N208&lt;&gt;"Y"),AND($O208&lt;=TODAY(),$P208&lt;&gt;"Y"),AND($Q208&lt;=TODAY(),$R208&lt;&gt;"Y")),"DUE","Scheduled")))</f>
        <v/>
      </c>
      <c r="T208" s="20"/>
      <c r="U208" s="23" t="str">
        <f aca="false">IF($B208="","",IF(OR($T208&lt;=2,$I208="Editorial"),"REDO",""))</f>
        <v/>
      </c>
      <c r="V208" s="18" t="str">
        <f aca="false">IF($S208&lt;&gt;"DUE","",COUNTIF($S$3:$S208,"DUE"))</f>
        <v/>
      </c>
    </row>
    <row r="209" customFormat="false" ht="15" hidden="false" customHeight="false" outlineLevel="0" collapsed="false">
      <c r="A209" s="12" t="str">
        <f aca="false">IF($F209="","",ROW()-2)</f>
        <v/>
      </c>
      <c r="B209" s="19"/>
      <c r="C209" s="20"/>
      <c r="D209" s="21"/>
      <c r="E209" s="21"/>
      <c r="F209" s="21"/>
      <c r="G209" s="20"/>
      <c r="H209" s="21"/>
      <c r="I209" s="20"/>
      <c r="J209" s="20"/>
      <c r="K209" s="21"/>
      <c r="L209" s="21"/>
      <c r="M209" s="22" t="str">
        <f aca="false">IF($B209="","",$B209+2)</f>
        <v/>
      </c>
      <c r="N209" s="20"/>
      <c r="O209" s="22" t="str">
        <f aca="false">IF($B209="","",$B209+5)</f>
        <v/>
      </c>
      <c r="P209" s="20"/>
      <c r="Q209" s="22" t="str">
        <f aca="false">IF($B209="","",$B209+10)</f>
        <v/>
      </c>
      <c r="R209" s="20"/>
      <c r="S209" s="23" t="str">
        <f aca="true">IF($B209="","",IF(AND($N209="Y",$P209="Y",$R209="Y"),"Done",IF(OR(AND($M209&lt;=TODAY(),$N209&lt;&gt;"Y"),AND($O209&lt;=TODAY(),$P209&lt;&gt;"Y"),AND($Q209&lt;=TODAY(),$R209&lt;&gt;"Y")),"DUE","Scheduled")))</f>
        <v/>
      </c>
      <c r="T209" s="20"/>
      <c r="U209" s="23" t="str">
        <f aca="false">IF($B209="","",IF(OR($T209&lt;=2,$I209="Editorial"),"REDO",""))</f>
        <v/>
      </c>
      <c r="V209" s="18" t="str">
        <f aca="false">IF($S209&lt;&gt;"DUE","",COUNTIF($S$3:$S209,"DUE"))</f>
        <v/>
      </c>
    </row>
    <row r="210" customFormat="false" ht="15" hidden="false" customHeight="false" outlineLevel="0" collapsed="false">
      <c r="A210" s="12" t="str">
        <f aca="false">IF($F210="","",ROW()-2)</f>
        <v/>
      </c>
      <c r="B210" s="19"/>
      <c r="C210" s="20"/>
      <c r="D210" s="21"/>
      <c r="E210" s="21"/>
      <c r="F210" s="21"/>
      <c r="G210" s="20"/>
      <c r="H210" s="21"/>
      <c r="I210" s="20"/>
      <c r="J210" s="20"/>
      <c r="K210" s="21"/>
      <c r="L210" s="21"/>
      <c r="M210" s="22" t="str">
        <f aca="false">IF($B210="","",$B210+2)</f>
        <v/>
      </c>
      <c r="N210" s="20"/>
      <c r="O210" s="22" t="str">
        <f aca="false">IF($B210="","",$B210+5)</f>
        <v/>
      </c>
      <c r="P210" s="20"/>
      <c r="Q210" s="22" t="str">
        <f aca="false">IF($B210="","",$B210+10)</f>
        <v/>
      </c>
      <c r="R210" s="20"/>
      <c r="S210" s="23" t="str">
        <f aca="true">IF($B210="","",IF(AND($N210="Y",$P210="Y",$R210="Y"),"Done",IF(OR(AND($M210&lt;=TODAY(),$N210&lt;&gt;"Y"),AND($O210&lt;=TODAY(),$P210&lt;&gt;"Y"),AND($Q210&lt;=TODAY(),$R210&lt;&gt;"Y")),"DUE","Scheduled")))</f>
        <v/>
      </c>
      <c r="T210" s="20"/>
      <c r="U210" s="23" t="str">
        <f aca="false">IF($B210="","",IF(OR($T210&lt;=2,$I210="Editorial"),"REDO",""))</f>
        <v/>
      </c>
      <c r="V210" s="18" t="str">
        <f aca="false">IF($S210&lt;&gt;"DUE","",COUNTIF($S$3:$S210,"DUE"))</f>
        <v/>
      </c>
    </row>
    <row r="211" customFormat="false" ht="15" hidden="false" customHeight="false" outlineLevel="0" collapsed="false">
      <c r="A211" s="12" t="str">
        <f aca="false">IF($F211="","",ROW()-2)</f>
        <v/>
      </c>
      <c r="B211" s="19"/>
      <c r="C211" s="20"/>
      <c r="D211" s="21"/>
      <c r="E211" s="21"/>
      <c r="F211" s="21"/>
      <c r="G211" s="20"/>
      <c r="H211" s="21"/>
      <c r="I211" s="20"/>
      <c r="J211" s="20"/>
      <c r="K211" s="21"/>
      <c r="L211" s="21"/>
      <c r="M211" s="22" t="str">
        <f aca="false">IF($B211="","",$B211+2)</f>
        <v/>
      </c>
      <c r="N211" s="20"/>
      <c r="O211" s="22" t="str">
        <f aca="false">IF($B211="","",$B211+5)</f>
        <v/>
      </c>
      <c r="P211" s="20"/>
      <c r="Q211" s="22" t="str">
        <f aca="false">IF($B211="","",$B211+10)</f>
        <v/>
      </c>
      <c r="R211" s="20"/>
      <c r="S211" s="23" t="str">
        <f aca="true">IF($B211="","",IF(AND($N211="Y",$P211="Y",$R211="Y"),"Done",IF(OR(AND($M211&lt;=TODAY(),$N211&lt;&gt;"Y"),AND($O211&lt;=TODAY(),$P211&lt;&gt;"Y"),AND($Q211&lt;=TODAY(),$R211&lt;&gt;"Y")),"DUE","Scheduled")))</f>
        <v/>
      </c>
      <c r="T211" s="20"/>
      <c r="U211" s="23" t="str">
        <f aca="false">IF($B211="","",IF(OR($T211&lt;=2,$I211="Editorial"),"REDO",""))</f>
        <v/>
      </c>
      <c r="V211" s="18" t="str">
        <f aca="false">IF($S211&lt;&gt;"DUE","",COUNTIF($S$3:$S211,"DUE"))</f>
        <v/>
      </c>
    </row>
    <row r="212" customFormat="false" ht="15" hidden="false" customHeight="false" outlineLevel="0" collapsed="false">
      <c r="A212" s="12" t="str">
        <f aca="false">IF($F212="","",ROW()-2)</f>
        <v/>
      </c>
      <c r="B212" s="19"/>
      <c r="C212" s="20"/>
      <c r="D212" s="21"/>
      <c r="E212" s="21"/>
      <c r="F212" s="21"/>
      <c r="G212" s="20"/>
      <c r="H212" s="21"/>
      <c r="I212" s="20"/>
      <c r="J212" s="20"/>
      <c r="K212" s="21"/>
      <c r="L212" s="21"/>
      <c r="M212" s="22" t="str">
        <f aca="false">IF($B212="","",$B212+2)</f>
        <v/>
      </c>
      <c r="N212" s="20"/>
      <c r="O212" s="22" t="str">
        <f aca="false">IF($B212="","",$B212+5)</f>
        <v/>
      </c>
      <c r="P212" s="20"/>
      <c r="Q212" s="22" t="str">
        <f aca="false">IF($B212="","",$B212+10)</f>
        <v/>
      </c>
      <c r="R212" s="20"/>
      <c r="S212" s="23" t="str">
        <f aca="true">IF($B212="","",IF(AND($N212="Y",$P212="Y",$R212="Y"),"Done",IF(OR(AND($M212&lt;=TODAY(),$N212&lt;&gt;"Y"),AND($O212&lt;=TODAY(),$P212&lt;&gt;"Y"),AND($Q212&lt;=TODAY(),$R212&lt;&gt;"Y")),"DUE","Scheduled")))</f>
        <v/>
      </c>
      <c r="T212" s="20"/>
      <c r="U212" s="23" t="str">
        <f aca="false">IF($B212="","",IF(OR($T212&lt;=2,$I212="Editorial"),"REDO",""))</f>
        <v/>
      </c>
      <c r="V212" s="18" t="str">
        <f aca="false">IF($S212&lt;&gt;"DUE","",COUNTIF($S$3:$S212,"DUE"))</f>
        <v/>
      </c>
    </row>
    <row r="213" customFormat="false" ht="15" hidden="false" customHeight="false" outlineLevel="0" collapsed="false">
      <c r="A213" s="12" t="str">
        <f aca="false">IF($F213="","",ROW()-2)</f>
        <v/>
      </c>
      <c r="B213" s="19"/>
      <c r="C213" s="20"/>
      <c r="D213" s="21"/>
      <c r="E213" s="21"/>
      <c r="F213" s="21"/>
      <c r="G213" s="20"/>
      <c r="H213" s="21"/>
      <c r="I213" s="20"/>
      <c r="J213" s="20"/>
      <c r="K213" s="21"/>
      <c r="L213" s="21"/>
      <c r="M213" s="22" t="str">
        <f aca="false">IF($B213="","",$B213+2)</f>
        <v/>
      </c>
      <c r="N213" s="20"/>
      <c r="O213" s="22" t="str">
        <f aca="false">IF($B213="","",$B213+5)</f>
        <v/>
      </c>
      <c r="P213" s="20"/>
      <c r="Q213" s="22" t="str">
        <f aca="false">IF($B213="","",$B213+10)</f>
        <v/>
      </c>
      <c r="R213" s="20"/>
      <c r="S213" s="23" t="str">
        <f aca="true">IF($B213="","",IF(AND($N213="Y",$P213="Y",$R213="Y"),"Done",IF(OR(AND($M213&lt;=TODAY(),$N213&lt;&gt;"Y"),AND($O213&lt;=TODAY(),$P213&lt;&gt;"Y"),AND($Q213&lt;=TODAY(),$R213&lt;&gt;"Y")),"DUE","Scheduled")))</f>
        <v/>
      </c>
      <c r="T213" s="20"/>
      <c r="U213" s="23" t="str">
        <f aca="false">IF($B213="","",IF(OR($T213&lt;=2,$I213="Editorial"),"REDO",""))</f>
        <v/>
      </c>
      <c r="V213" s="18" t="str">
        <f aca="false">IF($S213&lt;&gt;"DUE","",COUNTIF($S$3:$S213,"DUE"))</f>
        <v/>
      </c>
    </row>
    <row r="214" customFormat="false" ht="15" hidden="false" customHeight="false" outlineLevel="0" collapsed="false">
      <c r="A214" s="12" t="str">
        <f aca="false">IF($F214="","",ROW()-2)</f>
        <v/>
      </c>
      <c r="B214" s="19"/>
      <c r="C214" s="20"/>
      <c r="D214" s="21"/>
      <c r="E214" s="21"/>
      <c r="F214" s="21"/>
      <c r="G214" s="20"/>
      <c r="H214" s="21"/>
      <c r="I214" s="20"/>
      <c r="J214" s="20"/>
      <c r="K214" s="21"/>
      <c r="L214" s="21"/>
      <c r="M214" s="22" t="str">
        <f aca="false">IF($B214="","",$B214+2)</f>
        <v/>
      </c>
      <c r="N214" s="20"/>
      <c r="O214" s="22" t="str">
        <f aca="false">IF($B214="","",$B214+5)</f>
        <v/>
      </c>
      <c r="P214" s="20"/>
      <c r="Q214" s="22" t="str">
        <f aca="false">IF($B214="","",$B214+10)</f>
        <v/>
      </c>
      <c r="R214" s="20"/>
      <c r="S214" s="23" t="str">
        <f aca="true">IF($B214="","",IF(AND($N214="Y",$P214="Y",$R214="Y"),"Done",IF(OR(AND($M214&lt;=TODAY(),$N214&lt;&gt;"Y"),AND($O214&lt;=TODAY(),$P214&lt;&gt;"Y"),AND($Q214&lt;=TODAY(),$R214&lt;&gt;"Y")),"DUE","Scheduled")))</f>
        <v/>
      </c>
      <c r="T214" s="20"/>
      <c r="U214" s="23" t="str">
        <f aca="false">IF($B214="","",IF(OR($T214&lt;=2,$I214="Editorial"),"REDO",""))</f>
        <v/>
      </c>
      <c r="V214" s="18" t="str">
        <f aca="false">IF($S214&lt;&gt;"DUE","",COUNTIF($S$3:$S214,"DUE"))</f>
        <v/>
      </c>
    </row>
    <row r="215" customFormat="false" ht="15" hidden="false" customHeight="false" outlineLevel="0" collapsed="false">
      <c r="A215" s="12" t="str">
        <f aca="false">IF($F215="","",ROW()-2)</f>
        <v/>
      </c>
      <c r="B215" s="19"/>
      <c r="C215" s="20"/>
      <c r="D215" s="21"/>
      <c r="E215" s="21"/>
      <c r="F215" s="21"/>
      <c r="G215" s="20"/>
      <c r="H215" s="21"/>
      <c r="I215" s="20"/>
      <c r="J215" s="20"/>
      <c r="K215" s="21"/>
      <c r="L215" s="21"/>
      <c r="M215" s="22" t="str">
        <f aca="false">IF($B215="","",$B215+2)</f>
        <v/>
      </c>
      <c r="N215" s="20"/>
      <c r="O215" s="22" t="str">
        <f aca="false">IF($B215="","",$B215+5)</f>
        <v/>
      </c>
      <c r="P215" s="20"/>
      <c r="Q215" s="22" t="str">
        <f aca="false">IF($B215="","",$B215+10)</f>
        <v/>
      </c>
      <c r="R215" s="20"/>
      <c r="S215" s="23" t="str">
        <f aca="true">IF($B215="","",IF(AND($N215="Y",$P215="Y",$R215="Y"),"Done",IF(OR(AND($M215&lt;=TODAY(),$N215&lt;&gt;"Y"),AND($O215&lt;=TODAY(),$P215&lt;&gt;"Y"),AND($Q215&lt;=TODAY(),$R215&lt;&gt;"Y")),"DUE","Scheduled")))</f>
        <v/>
      </c>
      <c r="T215" s="20"/>
      <c r="U215" s="23" t="str">
        <f aca="false">IF($B215="","",IF(OR($T215&lt;=2,$I215="Editorial"),"REDO",""))</f>
        <v/>
      </c>
      <c r="V215" s="18" t="str">
        <f aca="false">IF($S215&lt;&gt;"DUE","",COUNTIF($S$3:$S215,"DUE"))</f>
        <v/>
      </c>
    </row>
    <row r="216" customFormat="false" ht="15" hidden="false" customHeight="false" outlineLevel="0" collapsed="false">
      <c r="A216" s="12" t="str">
        <f aca="false">IF($F216="","",ROW()-2)</f>
        <v/>
      </c>
      <c r="B216" s="19"/>
      <c r="C216" s="20"/>
      <c r="D216" s="21"/>
      <c r="E216" s="21"/>
      <c r="F216" s="21"/>
      <c r="G216" s="20"/>
      <c r="H216" s="21"/>
      <c r="I216" s="20"/>
      <c r="J216" s="20"/>
      <c r="K216" s="21"/>
      <c r="L216" s="21"/>
      <c r="M216" s="22" t="str">
        <f aca="false">IF($B216="","",$B216+2)</f>
        <v/>
      </c>
      <c r="N216" s="20"/>
      <c r="O216" s="22" t="str">
        <f aca="false">IF($B216="","",$B216+5)</f>
        <v/>
      </c>
      <c r="P216" s="20"/>
      <c r="Q216" s="22" t="str">
        <f aca="false">IF($B216="","",$B216+10)</f>
        <v/>
      </c>
      <c r="R216" s="20"/>
      <c r="S216" s="23" t="str">
        <f aca="true">IF($B216="","",IF(AND($N216="Y",$P216="Y",$R216="Y"),"Done",IF(OR(AND($M216&lt;=TODAY(),$N216&lt;&gt;"Y"),AND($O216&lt;=TODAY(),$P216&lt;&gt;"Y"),AND($Q216&lt;=TODAY(),$R216&lt;&gt;"Y")),"DUE","Scheduled")))</f>
        <v/>
      </c>
      <c r="T216" s="20"/>
      <c r="U216" s="23" t="str">
        <f aca="false">IF($B216="","",IF(OR($T216&lt;=2,$I216="Editorial"),"REDO",""))</f>
        <v/>
      </c>
      <c r="V216" s="18" t="str">
        <f aca="false">IF($S216&lt;&gt;"DUE","",COUNTIF($S$3:$S216,"DUE"))</f>
        <v/>
      </c>
    </row>
    <row r="217" customFormat="false" ht="15" hidden="false" customHeight="false" outlineLevel="0" collapsed="false">
      <c r="A217" s="12" t="str">
        <f aca="false">IF($F217="","",ROW()-2)</f>
        <v/>
      </c>
      <c r="B217" s="19"/>
      <c r="C217" s="20"/>
      <c r="D217" s="21"/>
      <c r="E217" s="21"/>
      <c r="F217" s="21"/>
      <c r="G217" s="20"/>
      <c r="H217" s="21"/>
      <c r="I217" s="20"/>
      <c r="J217" s="20"/>
      <c r="K217" s="21"/>
      <c r="L217" s="21"/>
      <c r="M217" s="22" t="str">
        <f aca="false">IF($B217="","",$B217+2)</f>
        <v/>
      </c>
      <c r="N217" s="20"/>
      <c r="O217" s="22" t="str">
        <f aca="false">IF($B217="","",$B217+5)</f>
        <v/>
      </c>
      <c r="P217" s="20"/>
      <c r="Q217" s="22" t="str">
        <f aca="false">IF($B217="","",$B217+10)</f>
        <v/>
      </c>
      <c r="R217" s="20"/>
      <c r="S217" s="23" t="str">
        <f aca="true">IF($B217="","",IF(AND($N217="Y",$P217="Y",$R217="Y"),"Done",IF(OR(AND($M217&lt;=TODAY(),$N217&lt;&gt;"Y"),AND($O217&lt;=TODAY(),$P217&lt;&gt;"Y"),AND($Q217&lt;=TODAY(),$R217&lt;&gt;"Y")),"DUE","Scheduled")))</f>
        <v/>
      </c>
      <c r="T217" s="20"/>
      <c r="U217" s="23" t="str">
        <f aca="false">IF($B217="","",IF(OR($T217&lt;=2,$I217="Editorial"),"REDO",""))</f>
        <v/>
      </c>
      <c r="V217" s="18" t="str">
        <f aca="false">IF($S217&lt;&gt;"DUE","",COUNTIF($S$3:$S217,"DUE"))</f>
        <v/>
      </c>
    </row>
    <row r="218" customFormat="false" ht="15" hidden="false" customHeight="false" outlineLevel="0" collapsed="false">
      <c r="A218" s="12" t="str">
        <f aca="false">IF($F218="","",ROW()-2)</f>
        <v/>
      </c>
      <c r="B218" s="19"/>
      <c r="C218" s="20"/>
      <c r="D218" s="21"/>
      <c r="E218" s="21"/>
      <c r="F218" s="21"/>
      <c r="G218" s="20"/>
      <c r="H218" s="21"/>
      <c r="I218" s="20"/>
      <c r="J218" s="20"/>
      <c r="K218" s="21"/>
      <c r="L218" s="21"/>
      <c r="M218" s="22" t="str">
        <f aca="false">IF($B218="","",$B218+2)</f>
        <v/>
      </c>
      <c r="N218" s="20"/>
      <c r="O218" s="22" t="str">
        <f aca="false">IF($B218="","",$B218+5)</f>
        <v/>
      </c>
      <c r="P218" s="20"/>
      <c r="Q218" s="22" t="str">
        <f aca="false">IF($B218="","",$B218+10)</f>
        <v/>
      </c>
      <c r="R218" s="20"/>
      <c r="S218" s="23" t="str">
        <f aca="true">IF($B218="","",IF(AND($N218="Y",$P218="Y",$R218="Y"),"Done",IF(OR(AND($M218&lt;=TODAY(),$N218&lt;&gt;"Y"),AND($O218&lt;=TODAY(),$P218&lt;&gt;"Y"),AND($Q218&lt;=TODAY(),$R218&lt;&gt;"Y")),"DUE","Scheduled")))</f>
        <v/>
      </c>
      <c r="T218" s="20"/>
      <c r="U218" s="23" t="str">
        <f aca="false">IF($B218="","",IF(OR($T218&lt;=2,$I218="Editorial"),"REDO",""))</f>
        <v/>
      </c>
      <c r="V218" s="18" t="str">
        <f aca="false">IF($S218&lt;&gt;"DUE","",COUNTIF($S$3:$S218,"DUE"))</f>
        <v/>
      </c>
    </row>
    <row r="219" customFormat="false" ht="15" hidden="false" customHeight="false" outlineLevel="0" collapsed="false">
      <c r="A219" s="12" t="str">
        <f aca="false">IF($F219="","",ROW()-2)</f>
        <v/>
      </c>
      <c r="B219" s="19"/>
      <c r="C219" s="20"/>
      <c r="D219" s="21"/>
      <c r="E219" s="21"/>
      <c r="F219" s="21"/>
      <c r="G219" s="20"/>
      <c r="H219" s="21"/>
      <c r="I219" s="20"/>
      <c r="J219" s="20"/>
      <c r="K219" s="21"/>
      <c r="L219" s="21"/>
      <c r="M219" s="22" t="str">
        <f aca="false">IF($B219="","",$B219+2)</f>
        <v/>
      </c>
      <c r="N219" s="20"/>
      <c r="O219" s="22" t="str">
        <f aca="false">IF($B219="","",$B219+5)</f>
        <v/>
      </c>
      <c r="P219" s="20"/>
      <c r="Q219" s="22" t="str">
        <f aca="false">IF($B219="","",$B219+10)</f>
        <v/>
      </c>
      <c r="R219" s="20"/>
      <c r="S219" s="23" t="str">
        <f aca="true">IF($B219="","",IF(AND($N219="Y",$P219="Y",$R219="Y"),"Done",IF(OR(AND($M219&lt;=TODAY(),$N219&lt;&gt;"Y"),AND($O219&lt;=TODAY(),$P219&lt;&gt;"Y"),AND($Q219&lt;=TODAY(),$R219&lt;&gt;"Y")),"DUE","Scheduled")))</f>
        <v/>
      </c>
      <c r="T219" s="20"/>
      <c r="U219" s="23" t="str">
        <f aca="false">IF($B219="","",IF(OR($T219&lt;=2,$I219="Editorial"),"REDO",""))</f>
        <v/>
      </c>
      <c r="V219" s="18" t="str">
        <f aca="false">IF($S219&lt;&gt;"DUE","",COUNTIF($S$3:$S219,"DUE"))</f>
        <v/>
      </c>
    </row>
    <row r="220" customFormat="false" ht="15" hidden="false" customHeight="false" outlineLevel="0" collapsed="false">
      <c r="A220" s="12" t="str">
        <f aca="false">IF($F220="","",ROW()-2)</f>
        <v/>
      </c>
      <c r="B220" s="19"/>
      <c r="C220" s="20"/>
      <c r="D220" s="21"/>
      <c r="E220" s="21"/>
      <c r="F220" s="21"/>
      <c r="G220" s="20"/>
      <c r="H220" s="21"/>
      <c r="I220" s="20"/>
      <c r="J220" s="20"/>
      <c r="K220" s="21"/>
      <c r="L220" s="21"/>
      <c r="M220" s="22" t="str">
        <f aca="false">IF($B220="","",$B220+2)</f>
        <v/>
      </c>
      <c r="N220" s="20"/>
      <c r="O220" s="22" t="str">
        <f aca="false">IF($B220="","",$B220+5)</f>
        <v/>
      </c>
      <c r="P220" s="20"/>
      <c r="Q220" s="22" t="str">
        <f aca="false">IF($B220="","",$B220+10)</f>
        <v/>
      </c>
      <c r="R220" s="20"/>
      <c r="S220" s="23" t="str">
        <f aca="true">IF($B220="","",IF(AND($N220="Y",$P220="Y",$R220="Y"),"Done",IF(OR(AND($M220&lt;=TODAY(),$N220&lt;&gt;"Y"),AND($O220&lt;=TODAY(),$P220&lt;&gt;"Y"),AND($Q220&lt;=TODAY(),$R220&lt;&gt;"Y")),"DUE","Scheduled")))</f>
        <v/>
      </c>
      <c r="T220" s="20"/>
      <c r="U220" s="23" t="str">
        <f aca="false">IF($B220="","",IF(OR($T220&lt;=2,$I220="Editorial"),"REDO",""))</f>
        <v/>
      </c>
      <c r="V220" s="18" t="str">
        <f aca="false">IF($S220&lt;&gt;"DUE","",COUNTIF($S$3:$S220,"DUE"))</f>
        <v/>
      </c>
    </row>
    <row r="221" customFormat="false" ht="15" hidden="false" customHeight="false" outlineLevel="0" collapsed="false">
      <c r="A221" s="12" t="str">
        <f aca="false">IF($F221="","",ROW()-2)</f>
        <v/>
      </c>
      <c r="B221" s="19"/>
      <c r="C221" s="20"/>
      <c r="D221" s="21"/>
      <c r="E221" s="21"/>
      <c r="F221" s="21"/>
      <c r="G221" s="20"/>
      <c r="H221" s="21"/>
      <c r="I221" s="20"/>
      <c r="J221" s="20"/>
      <c r="K221" s="21"/>
      <c r="L221" s="21"/>
      <c r="M221" s="22" t="str">
        <f aca="false">IF($B221="","",$B221+2)</f>
        <v/>
      </c>
      <c r="N221" s="20"/>
      <c r="O221" s="22" t="str">
        <f aca="false">IF($B221="","",$B221+5)</f>
        <v/>
      </c>
      <c r="P221" s="20"/>
      <c r="Q221" s="22" t="str">
        <f aca="false">IF($B221="","",$B221+10)</f>
        <v/>
      </c>
      <c r="R221" s="20"/>
      <c r="S221" s="23" t="str">
        <f aca="true">IF($B221="","",IF(AND($N221="Y",$P221="Y",$R221="Y"),"Done",IF(OR(AND($M221&lt;=TODAY(),$N221&lt;&gt;"Y"),AND($O221&lt;=TODAY(),$P221&lt;&gt;"Y"),AND($Q221&lt;=TODAY(),$R221&lt;&gt;"Y")),"DUE","Scheduled")))</f>
        <v/>
      </c>
      <c r="T221" s="20"/>
      <c r="U221" s="23" t="str">
        <f aca="false">IF($B221="","",IF(OR($T221&lt;=2,$I221="Editorial"),"REDO",""))</f>
        <v/>
      </c>
      <c r="V221" s="18" t="str">
        <f aca="false">IF($S221&lt;&gt;"DUE","",COUNTIF($S$3:$S221,"DUE"))</f>
        <v/>
      </c>
    </row>
    <row r="222" customFormat="false" ht="15" hidden="false" customHeight="false" outlineLevel="0" collapsed="false">
      <c r="A222" s="12" t="str">
        <f aca="false">IF($F222="","",ROW()-2)</f>
        <v/>
      </c>
      <c r="B222" s="19"/>
      <c r="C222" s="20"/>
      <c r="D222" s="21"/>
      <c r="E222" s="21"/>
      <c r="F222" s="21"/>
      <c r="G222" s="20"/>
      <c r="H222" s="21"/>
      <c r="I222" s="20"/>
      <c r="J222" s="20"/>
      <c r="K222" s="21"/>
      <c r="L222" s="21"/>
      <c r="M222" s="22" t="str">
        <f aca="false">IF($B222="","",$B222+2)</f>
        <v/>
      </c>
      <c r="N222" s="20"/>
      <c r="O222" s="22" t="str">
        <f aca="false">IF($B222="","",$B222+5)</f>
        <v/>
      </c>
      <c r="P222" s="20"/>
      <c r="Q222" s="22" t="str">
        <f aca="false">IF($B222="","",$B222+10)</f>
        <v/>
      </c>
      <c r="R222" s="20"/>
      <c r="S222" s="23" t="str">
        <f aca="true">IF($B222="","",IF(AND($N222="Y",$P222="Y",$R222="Y"),"Done",IF(OR(AND($M222&lt;=TODAY(),$N222&lt;&gt;"Y"),AND($O222&lt;=TODAY(),$P222&lt;&gt;"Y"),AND($Q222&lt;=TODAY(),$R222&lt;&gt;"Y")),"DUE","Scheduled")))</f>
        <v/>
      </c>
      <c r="T222" s="20"/>
      <c r="U222" s="23" t="str">
        <f aca="false">IF($B222="","",IF(OR($T222&lt;=2,$I222="Editorial"),"REDO",""))</f>
        <v/>
      </c>
      <c r="V222" s="18" t="str">
        <f aca="false">IF($S222&lt;&gt;"DUE","",COUNTIF($S$3:$S222,"DUE"))</f>
        <v/>
      </c>
    </row>
    <row r="223" customFormat="false" ht="15" hidden="false" customHeight="false" outlineLevel="0" collapsed="false">
      <c r="A223" s="12" t="str">
        <f aca="false">IF($F223="","",ROW()-2)</f>
        <v/>
      </c>
      <c r="B223" s="19"/>
      <c r="C223" s="20"/>
      <c r="D223" s="21"/>
      <c r="E223" s="21"/>
      <c r="F223" s="21"/>
      <c r="G223" s="20"/>
      <c r="H223" s="21"/>
      <c r="I223" s="20"/>
      <c r="J223" s="20"/>
      <c r="K223" s="21"/>
      <c r="L223" s="21"/>
      <c r="M223" s="22" t="str">
        <f aca="false">IF($B223="","",$B223+2)</f>
        <v/>
      </c>
      <c r="N223" s="20"/>
      <c r="O223" s="22" t="str">
        <f aca="false">IF($B223="","",$B223+5)</f>
        <v/>
      </c>
      <c r="P223" s="20"/>
      <c r="Q223" s="22" t="str">
        <f aca="false">IF($B223="","",$B223+10)</f>
        <v/>
      </c>
      <c r="R223" s="20"/>
      <c r="S223" s="23" t="str">
        <f aca="true">IF($B223="","",IF(AND($N223="Y",$P223="Y",$R223="Y"),"Done",IF(OR(AND($M223&lt;=TODAY(),$N223&lt;&gt;"Y"),AND($O223&lt;=TODAY(),$P223&lt;&gt;"Y"),AND($Q223&lt;=TODAY(),$R223&lt;&gt;"Y")),"DUE","Scheduled")))</f>
        <v/>
      </c>
      <c r="T223" s="20"/>
      <c r="U223" s="23" t="str">
        <f aca="false">IF($B223="","",IF(OR($T223&lt;=2,$I223="Editorial"),"REDO",""))</f>
        <v/>
      </c>
      <c r="V223" s="18" t="str">
        <f aca="false">IF($S223&lt;&gt;"DUE","",COUNTIF($S$3:$S223,"DUE"))</f>
        <v/>
      </c>
    </row>
    <row r="224" customFormat="false" ht="15" hidden="false" customHeight="false" outlineLevel="0" collapsed="false">
      <c r="A224" s="12" t="str">
        <f aca="false">IF($F224="","",ROW()-2)</f>
        <v/>
      </c>
      <c r="B224" s="19"/>
      <c r="C224" s="20"/>
      <c r="D224" s="21"/>
      <c r="E224" s="21"/>
      <c r="F224" s="21"/>
      <c r="G224" s="20"/>
      <c r="H224" s="21"/>
      <c r="I224" s="20"/>
      <c r="J224" s="20"/>
      <c r="K224" s="21"/>
      <c r="L224" s="21"/>
      <c r="M224" s="22" t="str">
        <f aca="false">IF($B224="","",$B224+2)</f>
        <v/>
      </c>
      <c r="N224" s="20"/>
      <c r="O224" s="22" t="str">
        <f aca="false">IF($B224="","",$B224+5)</f>
        <v/>
      </c>
      <c r="P224" s="20"/>
      <c r="Q224" s="22" t="str">
        <f aca="false">IF($B224="","",$B224+10)</f>
        <v/>
      </c>
      <c r="R224" s="20"/>
      <c r="S224" s="23" t="str">
        <f aca="true">IF($B224="","",IF(AND($N224="Y",$P224="Y",$R224="Y"),"Done",IF(OR(AND($M224&lt;=TODAY(),$N224&lt;&gt;"Y"),AND($O224&lt;=TODAY(),$P224&lt;&gt;"Y"),AND($Q224&lt;=TODAY(),$R224&lt;&gt;"Y")),"DUE","Scheduled")))</f>
        <v/>
      </c>
      <c r="T224" s="20"/>
      <c r="U224" s="23" t="str">
        <f aca="false">IF($B224="","",IF(OR($T224&lt;=2,$I224="Editorial"),"REDO",""))</f>
        <v/>
      </c>
      <c r="V224" s="18" t="str">
        <f aca="false">IF($S224&lt;&gt;"DUE","",COUNTIF($S$3:$S224,"DUE"))</f>
        <v/>
      </c>
    </row>
    <row r="225" customFormat="false" ht="15" hidden="false" customHeight="false" outlineLevel="0" collapsed="false">
      <c r="A225" s="12" t="str">
        <f aca="false">IF($F225="","",ROW()-2)</f>
        <v/>
      </c>
      <c r="B225" s="19"/>
      <c r="C225" s="20"/>
      <c r="D225" s="21"/>
      <c r="E225" s="21"/>
      <c r="F225" s="21"/>
      <c r="G225" s="20"/>
      <c r="H225" s="21"/>
      <c r="I225" s="20"/>
      <c r="J225" s="20"/>
      <c r="K225" s="21"/>
      <c r="L225" s="21"/>
      <c r="M225" s="22" t="str">
        <f aca="false">IF($B225="","",$B225+2)</f>
        <v/>
      </c>
      <c r="N225" s="20"/>
      <c r="O225" s="22" t="str">
        <f aca="false">IF($B225="","",$B225+5)</f>
        <v/>
      </c>
      <c r="P225" s="20"/>
      <c r="Q225" s="22" t="str">
        <f aca="false">IF($B225="","",$B225+10)</f>
        <v/>
      </c>
      <c r="R225" s="20"/>
      <c r="S225" s="23" t="str">
        <f aca="true">IF($B225="","",IF(AND($N225="Y",$P225="Y",$R225="Y"),"Done",IF(OR(AND($M225&lt;=TODAY(),$N225&lt;&gt;"Y"),AND($O225&lt;=TODAY(),$P225&lt;&gt;"Y"),AND($Q225&lt;=TODAY(),$R225&lt;&gt;"Y")),"DUE","Scheduled")))</f>
        <v/>
      </c>
      <c r="T225" s="20"/>
      <c r="U225" s="23" t="str">
        <f aca="false">IF($B225="","",IF(OR($T225&lt;=2,$I225="Editorial"),"REDO",""))</f>
        <v/>
      </c>
      <c r="V225" s="18" t="str">
        <f aca="false">IF($S225&lt;&gt;"DUE","",COUNTIF($S$3:$S225,"DUE"))</f>
        <v/>
      </c>
    </row>
    <row r="226" customFormat="false" ht="15" hidden="false" customHeight="false" outlineLevel="0" collapsed="false">
      <c r="A226" s="12" t="str">
        <f aca="false">IF($F226="","",ROW()-2)</f>
        <v/>
      </c>
      <c r="B226" s="19"/>
      <c r="C226" s="20"/>
      <c r="D226" s="21"/>
      <c r="E226" s="21"/>
      <c r="F226" s="21"/>
      <c r="G226" s="20"/>
      <c r="H226" s="21"/>
      <c r="I226" s="20"/>
      <c r="J226" s="20"/>
      <c r="K226" s="21"/>
      <c r="L226" s="21"/>
      <c r="M226" s="22" t="str">
        <f aca="false">IF($B226="","",$B226+2)</f>
        <v/>
      </c>
      <c r="N226" s="20"/>
      <c r="O226" s="22" t="str">
        <f aca="false">IF($B226="","",$B226+5)</f>
        <v/>
      </c>
      <c r="P226" s="20"/>
      <c r="Q226" s="22" t="str">
        <f aca="false">IF($B226="","",$B226+10)</f>
        <v/>
      </c>
      <c r="R226" s="20"/>
      <c r="S226" s="23" t="str">
        <f aca="true">IF($B226="","",IF(AND($N226="Y",$P226="Y",$R226="Y"),"Done",IF(OR(AND($M226&lt;=TODAY(),$N226&lt;&gt;"Y"),AND($O226&lt;=TODAY(),$P226&lt;&gt;"Y"),AND($Q226&lt;=TODAY(),$R226&lt;&gt;"Y")),"DUE","Scheduled")))</f>
        <v/>
      </c>
      <c r="T226" s="20"/>
      <c r="U226" s="23" t="str">
        <f aca="false">IF($B226="","",IF(OR($T226&lt;=2,$I226="Editorial"),"REDO",""))</f>
        <v/>
      </c>
      <c r="V226" s="18" t="str">
        <f aca="false">IF($S226&lt;&gt;"DUE","",COUNTIF($S$3:$S226,"DUE"))</f>
        <v/>
      </c>
    </row>
    <row r="227" customFormat="false" ht="15" hidden="false" customHeight="false" outlineLevel="0" collapsed="false">
      <c r="A227" s="12" t="str">
        <f aca="false">IF($F227="","",ROW()-2)</f>
        <v/>
      </c>
      <c r="B227" s="19"/>
      <c r="C227" s="20"/>
      <c r="D227" s="21"/>
      <c r="E227" s="21"/>
      <c r="F227" s="21"/>
      <c r="G227" s="20"/>
      <c r="H227" s="21"/>
      <c r="I227" s="20"/>
      <c r="J227" s="20"/>
      <c r="K227" s="21"/>
      <c r="L227" s="21"/>
      <c r="M227" s="22" t="str">
        <f aca="false">IF($B227="","",$B227+2)</f>
        <v/>
      </c>
      <c r="N227" s="20"/>
      <c r="O227" s="22" t="str">
        <f aca="false">IF($B227="","",$B227+5)</f>
        <v/>
      </c>
      <c r="P227" s="20"/>
      <c r="Q227" s="22" t="str">
        <f aca="false">IF($B227="","",$B227+10)</f>
        <v/>
      </c>
      <c r="R227" s="20"/>
      <c r="S227" s="23" t="str">
        <f aca="true">IF($B227="","",IF(AND($N227="Y",$P227="Y",$R227="Y"),"Done",IF(OR(AND($M227&lt;=TODAY(),$N227&lt;&gt;"Y"),AND($O227&lt;=TODAY(),$P227&lt;&gt;"Y"),AND($Q227&lt;=TODAY(),$R227&lt;&gt;"Y")),"DUE","Scheduled")))</f>
        <v/>
      </c>
      <c r="T227" s="20"/>
      <c r="U227" s="23" t="str">
        <f aca="false">IF($B227="","",IF(OR($T227&lt;=2,$I227="Editorial"),"REDO",""))</f>
        <v/>
      </c>
      <c r="V227" s="18" t="str">
        <f aca="false">IF($S227&lt;&gt;"DUE","",COUNTIF($S$3:$S227,"DUE"))</f>
        <v/>
      </c>
    </row>
    <row r="228" customFormat="false" ht="15" hidden="false" customHeight="false" outlineLevel="0" collapsed="false">
      <c r="A228" s="12" t="str">
        <f aca="false">IF($F228="","",ROW()-2)</f>
        <v/>
      </c>
      <c r="B228" s="19"/>
      <c r="C228" s="20"/>
      <c r="D228" s="21"/>
      <c r="E228" s="21"/>
      <c r="F228" s="21"/>
      <c r="G228" s="20"/>
      <c r="H228" s="21"/>
      <c r="I228" s="20"/>
      <c r="J228" s="20"/>
      <c r="K228" s="21"/>
      <c r="L228" s="21"/>
      <c r="M228" s="22" t="str">
        <f aca="false">IF($B228="","",$B228+2)</f>
        <v/>
      </c>
      <c r="N228" s="20"/>
      <c r="O228" s="22" t="str">
        <f aca="false">IF($B228="","",$B228+5)</f>
        <v/>
      </c>
      <c r="P228" s="20"/>
      <c r="Q228" s="22" t="str">
        <f aca="false">IF($B228="","",$B228+10)</f>
        <v/>
      </c>
      <c r="R228" s="20"/>
      <c r="S228" s="23" t="str">
        <f aca="true">IF($B228="","",IF(AND($N228="Y",$P228="Y",$R228="Y"),"Done",IF(OR(AND($M228&lt;=TODAY(),$N228&lt;&gt;"Y"),AND($O228&lt;=TODAY(),$P228&lt;&gt;"Y"),AND($Q228&lt;=TODAY(),$R228&lt;&gt;"Y")),"DUE","Scheduled")))</f>
        <v/>
      </c>
      <c r="T228" s="20"/>
      <c r="U228" s="23" t="str">
        <f aca="false">IF($B228="","",IF(OR($T228&lt;=2,$I228="Editorial"),"REDO",""))</f>
        <v/>
      </c>
      <c r="V228" s="18" t="str">
        <f aca="false">IF($S228&lt;&gt;"DUE","",COUNTIF($S$3:$S228,"DUE"))</f>
        <v/>
      </c>
    </row>
    <row r="229" customFormat="false" ht="15" hidden="false" customHeight="false" outlineLevel="0" collapsed="false">
      <c r="A229" s="12" t="str">
        <f aca="false">IF($F229="","",ROW()-2)</f>
        <v/>
      </c>
      <c r="B229" s="19"/>
      <c r="C229" s="20"/>
      <c r="D229" s="21"/>
      <c r="E229" s="21"/>
      <c r="F229" s="21"/>
      <c r="G229" s="20"/>
      <c r="H229" s="21"/>
      <c r="I229" s="20"/>
      <c r="J229" s="20"/>
      <c r="K229" s="21"/>
      <c r="L229" s="21"/>
      <c r="M229" s="22" t="str">
        <f aca="false">IF($B229="","",$B229+2)</f>
        <v/>
      </c>
      <c r="N229" s="20"/>
      <c r="O229" s="22" t="str">
        <f aca="false">IF($B229="","",$B229+5)</f>
        <v/>
      </c>
      <c r="P229" s="20"/>
      <c r="Q229" s="22" t="str">
        <f aca="false">IF($B229="","",$B229+10)</f>
        <v/>
      </c>
      <c r="R229" s="20"/>
      <c r="S229" s="23" t="str">
        <f aca="true">IF($B229="","",IF(AND($N229="Y",$P229="Y",$R229="Y"),"Done",IF(OR(AND($M229&lt;=TODAY(),$N229&lt;&gt;"Y"),AND($O229&lt;=TODAY(),$P229&lt;&gt;"Y"),AND($Q229&lt;=TODAY(),$R229&lt;&gt;"Y")),"DUE","Scheduled")))</f>
        <v/>
      </c>
      <c r="T229" s="20"/>
      <c r="U229" s="23" t="str">
        <f aca="false">IF($B229="","",IF(OR($T229&lt;=2,$I229="Editorial"),"REDO",""))</f>
        <v/>
      </c>
      <c r="V229" s="18" t="str">
        <f aca="false">IF($S229&lt;&gt;"DUE","",COUNTIF($S$3:$S229,"DUE"))</f>
        <v/>
      </c>
    </row>
    <row r="230" customFormat="false" ht="15" hidden="false" customHeight="false" outlineLevel="0" collapsed="false">
      <c r="A230" s="12" t="str">
        <f aca="false">IF($F230="","",ROW()-2)</f>
        <v/>
      </c>
      <c r="B230" s="19"/>
      <c r="C230" s="20"/>
      <c r="D230" s="21"/>
      <c r="E230" s="21"/>
      <c r="F230" s="21"/>
      <c r="G230" s="20"/>
      <c r="H230" s="21"/>
      <c r="I230" s="20"/>
      <c r="J230" s="20"/>
      <c r="K230" s="21"/>
      <c r="L230" s="21"/>
      <c r="M230" s="22" t="str">
        <f aca="false">IF($B230="","",$B230+2)</f>
        <v/>
      </c>
      <c r="N230" s="20"/>
      <c r="O230" s="22" t="str">
        <f aca="false">IF($B230="","",$B230+5)</f>
        <v/>
      </c>
      <c r="P230" s="20"/>
      <c r="Q230" s="22" t="str">
        <f aca="false">IF($B230="","",$B230+10)</f>
        <v/>
      </c>
      <c r="R230" s="20"/>
      <c r="S230" s="23" t="str">
        <f aca="true">IF($B230="","",IF(AND($N230="Y",$P230="Y",$R230="Y"),"Done",IF(OR(AND($M230&lt;=TODAY(),$N230&lt;&gt;"Y"),AND($O230&lt;=TODAY(),$P230&lt;&gt;"Y"),AND($Q230&lt;=TODAY(),$R230&lt;&gt;"Y")),"DUE","Scheduled")))</f>
        <v/>
      </c>
      <c r="T230" s="20"/>
      <c r="U230" s="23" t="str">
        <f aca="false">IF($B230="","",IF(OR($T230&lt;=2,$I230="Editorial"),"REDO",""))</f>
        <v/>
      </c>
      <c r="V230" s="18" t="str">
        <f aca="false">IF($S230&lt;&gt;"DUE","",COUNTIF($S$3:$S230,"DUE"))</f>
        <v/>
      </c>
    </row>
    <row r="231" customFormat="false" ht="15" hidden="false" customHeight="false" outlineLevel="0" collapsed="false">
      <c r="A231" s="12" t="str">
        <f aca="false">IF($F231="","",ROW()-2)</f>
        <v/>
      </c>
      <c r="B231" s="19"/>
      <c r="C231" s="20"/>
      <c r="D231" s="21"/>
      <c r="E231" s="21"/>
      <c r="F231" s="21"/>
      <c r="G231" s="20"/>
      <c r="H231" s="21"/>
      <c r="I231" s="20"/>
      <c r="J231" s="20"/>
      <c r="K231" s="21"/>
      <c r="L231" s="21"/>
      <c r="M231" s="22" t="str">
        <f aca="false">IF($B231="","",$B231+2)</f>
        <v/>
      </c>
      <c r="N231" s="20"/>
      <c r="O231" s="22" t="str">
        <f aca="false">IF($B231="","",$B231+5)</f>
        <v/>
      </c>
      <c r="P231" s="20"/>
      <c r="Q231" s="22" t="str">
        <f aca="false">IF($B231="","",$B231+10)</f>
        <v/>
      </c>
      <c r="R231" s="20"/>
      <c r="S231" s="23" t="str">
        <f aca="true">IF($B231="","",IF(AND($N231="Y",$P231="Y",$R231="Y"),"Done",IF(OR(AND($M231&lt;=TODAY(),$N231&lt;&gt;"Y"),AND($O231&lt;=TODAY(),$P231&lt;&gt;"Y"),AND($Q231&lt;=TODAY(),$R231&lt;&gt;"Y")),"DUE","Scheduled")))</f>
        <v/>
      </c>
      <c r="T231" s="20"/>
      <c r="U231" s="23" t="str">
        <f aca="false">IF($B231="","",IF(OR($T231&lt;=2,$I231="Editorial"),"REDO",""))</f>
        <v/>
      </c>
      <c r="V231" s="18" t="str">
        <f aca="false">IF($S231&lt;&gt;"DUE","",COUNTIF($S$3:$S231,"DUE"))</f>
        <v/>
      </c>
    </row>
    <row r="232" customFormat="false" ht="15" hidden="false" customHeight="false" outlineLevel="0" collapsed="false">
      <c r="A232" s="12" t="str">
        <f aca="false">IF($F232="","",ROW()-2)</f>
        <v/>
      </c>
      <c r="B232" s="19"/>
      <c r="C232" s="20"/>
      <c r="D232" s="21"/>
      <c r="E232" s="21"/>
      <c r="F232" s="21"/>
      <c r="G232" s="20"/>
      <c r="H232" s="21"/>
      <c r="I232" s="20"/>
      <c r="J232" s="20"/>
      <c r="K232" s="21"/>
      <c r="L232" s="21"/>
      <c r="M232" s="22" t="str">
        <f aca="false">IF($B232="","",$B232+2)</f>
        <v/>
      </c>
      <c r="N232" s="20"/>
      <c r="O232" s="22" t="str">
        <f aca="false">IF($B232="","",$B232+5)</f>
        <v/>
      </c>
      <c r="P232" s="20"/>
      <c r="Q232" s="22" t="str">
        <f aca="false">IF($B232="","",$B232+10)</f>
        <v/>
      </c>
      <c r="R232" s="20"/>
      <c r="S232" s="23" t="str">
        <f aca="true">IF($B232="","",IF(AND($N232="Y",$P232="Y",$R232="Y"),"Done",IF(OR(AND($M232&lt;=TODAY(),$N232&lt;&gt;"Y"),AND($O232&lt;=TODAY(),$P232&lt;&gt;"Y"),AND($Q232&lt;=TODAY(),$R232&lt;&gt;"Y")),"DUE","Scheduled")))</f>
        <v/>
      </c>
      <c r="T232" s="20"/>
      <c r="U232" s="23" t="str">
        <f aca="false">IF($B232="","",IF(OR($T232&lt;=2,$I232="Editorial"),"REDO",""))</f>
        <v/>
      </c>
      <c r="V232" s="18" t="str">
        <f aca="false">IF($S232&lt;&gt;"DUE","",COUNTIF($S$3:$S232,"DUE"))</f>
        <v/>
      </c>
    </row>
    <row r="233" customFormat="false" ht="15" hidden="false" customHeight="false" outlineLevel="0" collapsed="false">
      <c r="A233" s="12" t="str">
        <f aca="false">IF($F233="","",ROW()-2)</f>
        <v/>
      </c>
      <c r="B233" s="19"/>
      <c r="C233" s="20"/>
      <c r="D233" s="21"/>
      <c r="E233" s="21"/>
      <c r="F233" s="21"/>
      <c r="G233" s="20"/>
      <c r="H233" s="21"/>
      <c r="I233" s="20"/>
      <c r="J233" s="20"/>
      <c r="K233" s="21"/>
      <c r="L233" s="21"/>
      <c r="M233" s="22" t="str">
        <f aca="false">IF($B233="","",$B233+2)</f>
        <v/>
      </c>
      <c r="N233" s="20"/>
      <c r="O233" s="22" t="str">
        <f aca="false">IF($B233="","",$B233+5)</f>
        <v/>
      </c>
      <c r="P233" s="20"/>
      <c r="Q233" s="22" t="str">
        <f aca="false">IF($B233="","",$B233+10)</f>
        <v/>
      </c>
      <c r="R233" s="20"/>
      <c r="S233" s="23" t="str">
        <f aca="true">IF($B233="","",IF(AND($N233="Y",$P233="Y",$R233="Y"),"Done",IF(OR(AND($M233&lt;=TODAY(),$N233&lt;&gt;"Y"),AND($O233&lt;=TODAY(),$P233&lt;&gt;"Y"),AND($Q233&lt;=TODAY(),$R233&lt;&gt;"Y")),"DUE","Scheduled")))</f>
        <v/>
      </c>
      <c r="T233" s="20"/>
      <c r="U233" s="23" t="str">
        <f aca="false">IF($B233="","",IF(OR($T233&lt;=2,$I233="Editorial"),"REDO",""))</f>
        <v/>
      </c>
      <c r="V233" s="18" t="str">
        <f aca="false">IF($S233&lt;&gt;"DUE","",COUNTIF($S$3:$S233,"DUE"))</f>
        <v/>
      </c>
    </row>
    <row r="234" customFormat="false" ht="15" hidden="false" customHeight="false" outlineLevel="0" collapsed="false">
      <c r="A234" s="12" t="str">
        <f aca="false">IF($F234="","",ROW()-2)</f>
        <v/>
      </c>
      <c r="B234" s="19"/>
      <c r="C234" s="20"/>
      <c r="D234" s="21"/>
      <c r="E234" s="21"/>
      <c r="F234" s="21"/>
      <c r="G234" s="20"/>
      <c r="H234" s="21"/>
      <c r="I234" s="20"/>
      <c r="J234" s="20"/>
      <c r="K234" s="21"/>
      <c r="L234" s="21"/>
      <c r="M234" s="22" t="str">
        <f aca="false">IF($B234="","",$B234+2)</f>
        <v/>
      </c>
      <c r="N234" s="20"/>
      <c r="O234" s="22" t="str">
        <f aca="false">IF($B234="","",$B234+5)</f>
        <v/>
      </c>
      <c r="P234" s="20"/>
      <c r="Q234" s="22" t="str">
        <f aca="false">IF($B234="","",$B234+10)</f>
        <v/>
      </c>
      <c r="R234" s="20"/>
      <c r="S234" s="23" t="str">
        <f aca="true">IF($B234="","",IF(AND($N234="Y",$P234="Y",$R234="Y"),"Done",IF(OR(AND($M234&lt;=TODAY(),$N234&lt;&gt;"Y"),AND($O234&lt;=TODAY(),$P234&lt;&gt;"Y"),AND($Q234&lt;=TODAY(),$R234&lt;&gt;"Y")),"DUE","Scheduled")))</f>
        <v/>
      </c>
      <c r="T234" s="20"/>
      <c r="U234" s="23" t="str">
        <f aca="false">IF($B234="","",IF(OR($T234&lt;=2,$I234="Editorial"),"REDO",""))</f>
        <v/>
      </c>
      <c r="V234" s="18" t="str">
        <f aca="false">IF($S234&lt;&gt;"DUE","",COUNTIF($S$3:$S234,"DUE"))</f>
        <v/>
      </c>
    </row>
    <row r="235" customFormat="false" ht="15" hidden="false" customHeight="false" outlineLevel="0" collapsed="false">
      <c r="A235" s="12" t="str">
        <f aca="false">IF($F235="","",ROW()-2)</f>
        <v/>
      </c>
      <c r="B235" s="19"/>
      <c r="C235" s="20"/>
      <c r="D235" s="21"/>
      <c r="E235" s="21"/>
      <c r="F235" s="21"/>
      <c r="G235" s="20"/>
      <c r="H235" s="21"/>
      <c r="I235" s="20"/>
      <c r="J235" s="20"/>
      <c r="K235" s="21"/>
      <c r="L235" s="21"/>
      <c r="M235" s="22" t="str">
        <f aca="false">IF($B235="","",$B235+2)</f>
        <v/>
      </c>
      <c r="N235" s="20"/>
      <c r="O235" s="22" t="str">
        <f aca="false">IF($B235="","",$B235+5)</f>
        <v/>
      </c>
      <c r="P235" s="20"/>
      <c r="Q235" s="22" t="str">
        <f aca="false">IF($B235="","",$B235+10)</f>
        <v/>
      </c>
      <c r="R235" s="20"/>
      <c r="S235" s="23" t="str">
        <f aca="true">IF($B235="","",IF(AND($N235="Y",$P235="Y",$R235="Y"),"Done",IF(OR(AND($M235&lt;=TODAY(),$N235&lt;&gt;"Y"),AND($O235&lt;=TODAY(),$P235&lt;&gt;"Y"),AND($Q235&lt;=TODAY(),$R235&lt;&gt;"Y")),"DUE","Scheduled")))</f>
        <v/>
      </c>
      <c r="T235" s="20"/>
      <c r="U235" s="23" t="str">
        <f aca="false">IF($B235="","",IF(OR($T235&lt;=2,$I235="Editorial"),"REDO",""))</f>
        <v/>
      </c>
      <c r="V235" s="18" t="str">
        <f aca="false">IF($S235&lt;&gt;"DUE","",COUNTIF($S$3:$S235,"DUE"))</f>
        <v/>
      </c>
    </row>
    <row r="236" customFormat="false" ht="15" hidden="false" customHeight="false" outlineLevel="0" collapsed="false">
      <c r="A236" s="12" t="str">
        <f aca="false">IF($F236="","",ROW()-2)</f>
        <v/>
      </c>
      <c r="B236" s="19"/>
      <c r="C236" s="20"/>
      <c r="D236" s="21"/>
      <c r="E236" s="21"/>
      <c r="F236" s="21"/>
      <c r="G236" s="20"/>
      <c r="H236" s="21"/>
      <c r="I236" s="20"/>
      <c r="J236" s="20"/>
      <c r="K236" s="21"/>
      <c r="L236" s="21"/>
      <c r="M236" s="22" t="str">
        <f aca="false">IF($B236="","",$B236+2)</f>
        <v/>
      </c>
      <c r="N236" s="20"/>
      <c r="O236" s="22" t="str">
        <f aca="false">IF($B236="","",$B236+5)</f>
        <v/>
      </c>
      <c r="P236" s="20"/>
      <c r="Q236" s="22" t="str">
        <f aca="false">IF($B236="","",$B236+10)</f>
        <v/>
      </c>
      <c r="R236" s="20"/>
      <c r="S236" s="23" t="str">
        <f aca="true">IF($B236="","",IF(AND($N236="Y",$P236="Y",$R236="Y"),"Done",IF(OR(AND($M236&lt;=TODAY(),$N236&lt;&gt;"Y"),AND($O236&lt;=TODAY(),$P236&lt;&gt;"Y"),AND($Q236&lt;=TODAY(),$R236&lt;&gt;"Y")),"DUE","Scheduled")))</f>
        <v/>
      </c>
      <c r="T236" s="20"/>
      <c r="U236" s="23" t="str">
        <f aca="false">IF($B236="","",IF(OR($T236&lt;=2,$I236="Editorial"),"REDO",""))</f>
        <v/>
      </c>
      <c r="V236" s="18" t="str">
        <f aca="false">IF($S236&lt;&gt;"DUE","",COUNTIF($S$3:$S236,"DUE"))</f>
        <v/>
      </c>
    </row>
    <row r="237" customFormat="false" ht="15" hidden="false" customHeight="false" outlineLevel="0" collapsed="false">
      <c r="A237" s="12" t="str">
        <f aca="false">IF($F237="","",ROW()-2)</f>
        <v/>
      </c>
      <c r="B237" s="19"/>
      <c r="C237" s="20"/>
      <c r="D237" s="21"/>
      <c r="E237" s="21"/>
      <c r="F237" s="21"/>
      <c r="G237" s="20"/>
      <c r="H237" s="21"/>
      <c r="I237" s="20"/>
      <c r="J237" s="20"/>
      <c r="K237" s="21"/>
      <c r="L237" s="21"/>
      <c r="M237" s="22" t="str">
        <f aca="false">IF($B237="","",$B237+2)</f>
        <v/>
      </c>
      <c r="N237" s="20"/>
      <c r="O237" s="22" t="str">
        <f aca="false">IF($B237="","",$B237+5)</f>
        <v/>
      </c>
      <c r="P237" s="20"/>
      <c r="Q237" s="22" t="str">
        <f aca="false">IF($B237="","",$B237+10)</f>
        <v/>
      </c>
      <c r="R237" s="20"/>
      <c r="S237" s="23" t="str">
        <f aca="true">IF($B237="","",IF(AND($N237="Y",$P237="Y",$R237="Y"),"Done",IF(OR(AND($M237&lt;=TODAY(),$N237&lt;&gt;"Y"),AND($O237&lt;=TODAY(),$P237&lt;&gt;"Y"),AND($Q237&lt;=TODAY(),$R237&lt;&gt;"Y")),"DUE","Scheduled")))</f>
        <v/>
      </c>
      <c r="T237" s="20"/>
      <c r="U237" s="23" t="str">
        <f aca="false">IF($B237="","",IF(OR($T237&lt;=2,$I237="Editorial"),"REDO",""))</f>
        <v/>
      </c>
      <c r="V237" s="18" t="str">
        <f aca="false">IF($S237&lt;&gt;"DUE","",COUNTIF($S$3:$S237,"DUE"))</f>
        <v/>
      </c>
    </row>
    <row r="238" customFormat="false" ht="15" hidden="false" customHeight="false" outlineLevel="0" collapsed="false">
      <c r="A238" s="12" t="str">
        <f aca="false">IF($F238="","",ROW()-2)</f>
        <v/>
      </c>
      <c r="B238" s="19"/>
      <c r="C238" s="20"/>
      <c r="D238" s="21"/>
      <c r="E238" s="21"/>
      <c r="F238" s="21"/>
      <c r="G238" s="20"/>
      <c r="H238" s="21"/>
      <c r="I238" s="20"/>
      <c r="J238" s="20"/>
      <c r="K238" s="21"/>
      <c r="L238" s="21"/>
      <c r="M238" s="22" t="str">
        <f aca="false">IF($B238="","",$B238+2)</f>
        <v/>
      </c>
      <c r="N238" s="20"/>
      <c r="O238" s="22" t="str">
        <f aca="false">IF($B238="","",$B238+5)</f>
        <v/>
      </c>
      <c r="P238" s="20"/>
      <c r="Q238" s="22" t="str">
        <f aca="false">IF($B238="","",$B238+10)</f>
        <v/>
      </c>
      <c r="R238" s="20"/>
      <c r="S238" s="23" t="str">
        <f aca="true">IF($B238="","",IF(AND($N238="Y",$P238="Y",$R238="Y"),"Done",IF(OR(AND($M238&lt;=TODAY(),$N238&lt;&gt;"Y"),AND($O238&lt;=TODAY(),$P238&lt;&gt;"Y"),AND($Q238&lt;=TODAY(),$R238&lt;&gt;"Y")),"DUE","Scheduled")))</f>
        <v/>
      </c>
      <c r="T238" s="20"/>
      <c r="U238" s="23" t="str">
        <f aca="false">IF($B238="","",IF(OR($T238&lt;=2,$I238="Editorial"),"REDO",""))</f>
        <v/>
      </c>
      <c r="V238" s="18" t="str">
        <f aca="false">IF($S238&lt;&gt;"DUE","",COUNTIF($S$3:$S238,"DUE"))</f>
        <v/>
      </c>
    </row>
    <row r="239" customFormat="false" ht="15" hidden="false" customHeight="false" outlineLevel="0" collapsed="false">
      <c r="A239" s="12" t="str">
        <f aca="false">IF($F239="","",ROW()-2)</f>
        <v/>
      </c>
      <c r="B239" s="19"/>
      <c r="C239" s="20"/>
      <c r="D239" s="21"/>
      <c r="E239" s="21"/>
      <c r="F239" s="21"/>
      <c r="G239" s="20"/>
      <c r="H239" s="21"/>
      <c r="I239" s="20"/>
      <c r="J239" s="20"/>
      <c r="K239" s="21"/>
      <c r="L239" s="21"/>
      <c r="M239" s="22" t="str">
        <f aca="false">IF($B239="","",$B239+2)</f>
        <v/>
      </c>
      <c r="N239" s="20"/>
      <c r="O239" s="22" t="str">
        <f aca="false">IF($B239="","",$B239+5)</f>
        <v/>
      </c>
      <c r="P239" s="20"/>
      <c r="Q239" s="22" t="str">
        <f aca="false">IF($B239="","",$B239+10)</f>
        <v/>
      </c>
      <c r="R239" s="20"/>
      <c r="S239" s="23" t="str">
        <f aca="true">IF($B239="","",IF(AND($N239="Y",$P239="Y",$R239="Y"),"Done",IF(OR(AND($M239&lt;=TODAY(),$N239&lt;&gt;"Y"),AND($O239&lt;=TODAY(),$P239&lt;&gt;"Y"),AND($Q239&lt;=TODAY(),$R239&lt;&gt;"Y")),"DUE","Scheduled")))</f>
        <v/>
      </c>
      <c r="T239" s="20"/>
      <c r="U239" s="23" t="str">
        <f aca="false">IF($B239="","",IF(OR($T239&lt;=2,$I239="Editorial"),"REDO",""))</f>
        <v/>
      </c>
      <c r="V239" s="18" t="str">
        <f aca="false">IF($S239&lt;&gt;"DUE","",COUNTIF($S$3:$S239,"DUE"))</f>
        <v/>
      </c>
    </row>
    <row r="240" customFormat="false" ht="15" hidden="false" customHeight="false" outlineLevel="0" collapsed="false">
      <c r="A240" s="12" t="str">
        <f aca="false">IF($F240="","",ROW()-2)</f>
        <v/>
      </c>
      <c r="B240" s="19"/>
      <c r="C240" s="20"/>
      <c r="D240" s="21"/>
      <c r="E240" s="21"/>
      <c r="F240" s="21"/>
      <c r="G240" s="20"/>
      <c r="H240" s="21"/>
      <c r="I240" s="20"/>
      <c r="J240" s="20"/>
      <c r="K240" s="21"/>
      <c r="L240" s="21"/>
      <c r="M240" s="22" t="str">
        <f aca="false">IF($B240="","",$B240+2)</f>
        <v/>
      </c>
      <c r="N240" s="20"/>
      <c r="O240" s="22" t="str">
        <f aca="false">IF($B240="","",$B240+5)</f>
        <v/>
      </c>
      <c r="P240" s="20"/>
      <c r="Q240" s="22" t="str">
        <f aca="false">IF($B240="","",$B240+10)</f>
        <v/>
      </c>
      <c r="R240" s="20"/>
      <c r="S240" s="23" t="str">
        <f aca="true">IF($B240="","",IF(AND($N240="Y",$P240="Y",$R240="Y"),"Done",IF(OR(AND($M240&lt;=TODAY(),$N240&lt;&gt;"Y"),AND($O240&lt;=TODAY(),$P240&lt;&gt;"Y"),AND($Q240&lt;=TODAY(),$R240&lt;&gt;"Y")),"DUE","Scheduled")))</f>
        <v/>
      </c>
      <c r="T240" s="20"/>
      <c r="U240" s="23" t="str">
        <f aca="false">IF($B240="","",IF(OR($T240&lt;=2,$I240="Editorial"),"REDO",""))</f>
        <v/>
      </c>
      <c r="V240" s="18" t="str">
        <f aca="false">IF($S240&lt;&gt;"DUE","",COUNTIF($S$3:$S240,"DUE"))</f>
        <v/>
      </c>
    </row>
    <row r="241" customFormat="false" ht="15" hidden="false" customHeight="false" outlineLevel="0" collapsed="false">
      <c r="A241" s="12" t="str">
        <f aca="false">IF($F241="","",ROW()-2)</f>
        <v/>
      </c>
      <c r="B241" s="19"/>
      <c r="C241" s="20"/>
      <c r="D241" s="21"/>
      <c r="E241" s="21"/>
      <c r="F241" s="21"/>
      <c r="G241" s="20"/>
      <c r="H241" s="21"/>
      <c r="I241" s="20"/>
      <c r="J241" s="20"/>
      <c r="K241" s="21"/>
      <c r="L241" s="21"/>
      <c r="M241" s="22" t="str">
        <f aca="false">IF($B241="","",$B241+2)</f>
        <v/>
      </c>
      <c r="N241" s="20"/>
      <c r="O241" s="22" t="str">
        <f aca="false">IF($B241="","",$B241+5)</f>
        <v/>
      </c>
      <c r="P241" s="20"/>
      <c r="Q241" s="22" t="str">
        <f aca="false">IF($B241="","",$B241+10)</f>
        <v/>
      </c>
      <c r="R241" s="20"/>
      <c r="S241" s="23" t="str">
        <f aca="true">IF($B241="","",IF(AND($N241="Y",$P241="Y",$R241="Y"),"Done",IF(OR(AND($M241&lt;=TODAY(),$N241&lt;&gt;"Y"),AND($O241&lt;=TODAY(),$P241&lt;&gt;"Y"),AND($Q241&lt;=TODAY(),$R241&lt;&gt;"Y")),"DUE","Scheduled")))</f>
        <v/>
      </c>
      <c r="T241" s="20"/>
      <c r="U241" s="23" t="str">
        <f aca="false">IF($B241="","",IF(OR($T241&lt;=2,$I241="Editorial"),"REDO",""))</f>
        <v/>
      </c>
      <c r="V241" s="18" t="str">
        <f aca="false">IF($S241&lt;&gt;"DUE","",COUNTIF($S$3:$S241,"DUE"))</f>
        <v/>
      </c>
    </row>
    <row r="242" customFormat="false" ht="15" hidden="false" customHeight="false" outlineLevel="0" collapsed="false">
      <c r="A242" s="12" t="str">
        <f aca="false">IF($F242="","",ROW()-2)</f>
        <v/>
      </c>
      <c r="B242" s="19"/>
      <c r="C242" s="20"/>
      <c r="D242" s="21"/>
      <c r="E242" s="21"/>
      <c r="F242" s="21"/>
      <c r="G242" s="20"/>
      <c r="H242" s="21"/>
      <c r="I242" s="20"/>
      <c r="J242" s="20"/>
      <c r="K242" s="21"/>
      <c r="L242" s="21"/>
      <c r="M242" s="22" t="str">
        <f aca="false">IF($B242="","",$B242+2)</f>
        <v/>
      </c>
      <c r="N242" s="20"/>
      <c r="O242" s="22" t="str">
        <f aca="false">IF($B242="","",$B242+5)</f>
        <v/>
      </c>
      <c r="P242" s="20"/>
      <c r="Q242" s="22" t="str">
        <f aca="false">IF($B242="","",$B242+10)</f>
        <v/>
      </c>
      <c r="R242" s="20"/>
      <c r="S242" s="23" t="str">
        <f aca="true">IF($B242="","",IF(AND($N242="Y",$P242="Y",$R242="Y"),"Done",IF(OR(AND($M242&lt;=TODAY(),$N242&lt;&gt;"Y"),AND($O242&lt;=TODAY(),$P242&lt;&gt;"Y"),AND($Q242&lt;=TODAY(),$R242&lt;&gt;"Y")),"DUE","Scheduled")))</f>
        <v/>
      </c>
      <c r="T242" s="20"/>
      <c r="U242" s="23" t="str">
        <f aca="false">IF($B242="","",IF(OR($T242&lt;=2,$I242="Editorial"),"REDO",""))</f>
        <v/>
      </c>
      <c r="V242" s="18" t="str">
        <f aca="false">IF($S242&lt;&gt;"DUE","",COUNTIF($S$3:$S242,"DUE"))</f>
        <v/>
      </c>
    </row>
    <row r="243" customFormat="false" ht="15" hidden="false" customHeight="false" outlineLevel="0" collapsed="false">
      <c r="A243" s="12" t="str">
        <f aca="false">IF($F243="","",ROW()-2)</f>
        <v/>
      </c>
      <c r="B243" s="19"/>
      <c r="C243" s="20"/>
      <c r="D243" s="21"/>
      <c r="E243" s="21"/>
      <c r="F243" s="21"/>
      <c r="G243" s="20"/>
      <c r="H243" s="21"/>
      <c r="I243" s="20"/>
      <c r="J243" s="20"/>
      <c r="K243" s="21"/>
      <c r="L243" s="21"/>
      <c r="M243" s="22" t="str">
        <f aca="false">IF($B243="","",$B243+2)</f>
        <v/>
      </c>
      <c r="N243" s="20"/>
      <c r="O243" s="22" t="str">
        <f aca="false">IF($B243="","",$B243+5)</f>
        <v/>
      </c>
      <c r="P243" s="20"/>
      <c r="Q243" s="22" t="str">
        <f aca="false">IF($B243="","",$B243+10)</f>
        <v/>
      </c>
      <c r="R243" s="20"/>
      <c r="S243" s="23" t="str">
        <f aca="true">IF($B243="","",IF(AND($N243="Y",$P243="Y",$R243="Y"),"Done",IF(OR(AND($M243&lt;=TODAY(),$N243&lt;&gt;"Y"),AND($O243&lt;=TODAY(),$P243&lt;&gt;"Y"),AND($Q243&lt;=TODAY(),$R243&lt;&gt;"Y")),"DUE","Scheduled")))</f>
        <v/>
      </c>
      <c r="T243" s="20"/>
      <c r="U243" s="23" t="str">
        <f aca="false">IF($B243="","",IF(OR($T243&lt;=2,$I243="Editorial"),"REDO",""))</f>
        <v/>
      </c>
      <c r="V243" s="18" t="str">
        <f aca="false">IF($S243&lt;&gt;"DUE","",COUNTIF($S$3:$S243,"DUE"))</f>
        <v/>
      </c>
    </row>
    <row r="244" customFormat="false" ht="15" hidden="false" customHeight="false" outlineLevel="0" collapsed="false">
      <c r="A244" s="12" t="str">
        <f aca="false">IF($F244="","",ROW()-2)</f>
        <v/>
      </c>
      <c r="B244" s="19"/>
      <c r="C244" s="20"/>
      <c r="D244" s="21"/>
      <c r="E244" s="21"/>
      <c r="F244" s="21"/>
      <c r="G244" s="20"/>
      <c r="H244" s="21"/>
      <c r="I244" s="20"/>
      <c r="J244" s="20"/>
      <c r="K244" s="21"/>
      <c r="L244" s="21"/>
      <c r="M244" s="22" t="str">
        <f aca="false">IF($B244="","",$B244+2)</f>
        <v/>
      </c>
      <c r="N244" s="20"/>
      <c r="O244" s="22" t="str">
        <f aca="false">IF($B244="","",$B244+5)</f>
        <v/>
      </c>
      <c r="P244" s="20"/>
      <c r="Q244" s="22" t="str">
        <f aca="false">IF($B244="","",$B244+10)</f>
        <v/>
      </c>
      <c r="R244" s="20"/>
      <c r="S244" s="23" t="str">
        <f aca="true">IF($B244="","",IF(AND($N244="Y",$P244="Y",$R244="Y"),"Done",IF(OR(AND($M244&lt;=TODAY(),$N244&lt;&gt;"Y"),AND($O244&lt;=TODAY(),$P244&lt;&gt;"Y"),AND($Q244&lt;=TODAY(),$R244&lt;&gt;"Y")),"DUE","Scheduled")))</f>
        <v/>
      </c>
      <c r="T244" s="20"/>
      <c r="U244" s="23" t="str">
        <f aca="false">IF($B244="","",IF(OR($T244&lt;=2,$I244="Editorial"),"REDO",""))</f>
        <v/>
      </c>
      <c r="V244" s="18" t="str">
        <f aca="false">IF($S244&lt;&gt;"DUE","",COUNTIF($S$3:$S244,"DUE"))</f>
        <v/>
      </c>
    </row>
    <row r="245" customFormat="false" ht="15" hidden="false" customHeight="false" outlineLevel="0" collapsed="false">
      <c r="A245" s="12" t="str">
        <f aca="false">IF($F245="","",ROW()-2)</f>
        <v/>
      </c>
      <c r="B245" s="19"/>
      <c r="C245" s="20"/>
      <c r="D245" s="21"/>
      <c r="E245" s="21"/>
      <c r="F245" s="21"/>
      <c r="G245" s="20"/>
      <c r="H245" s="21"/>
      <c r="I245" s="20"/>
      <c r="J245" s="20"/>
      <c r="K245" s="21"/>
      <c r="L245" s="21"/>
      <c r="M245" s="22" t="str">
        <f aca="false">IF($B245="","",$B245+2)</f>
        <v/>
      </c>
      <c r="N245" s="20"/>
      <c r="O245" s="22" t="str">
        <f aca="false">IF($B245="","",$B245+5)</f>
        <v/>
      </c>
      <c r="P245" s="20"/>
      <c r="Q245" s="22" t="str">
        <f aca="false">IF($B245="","",$B245+10)</f>
        <v/>
      </c>
      <c r="R245" s="20"/>
      <c r="S245" s="23" t="str">
        <f aca="true">IF($B245="","",IF(AND($N245="Y",$P245="Y",$R245="Y"),"Done",IF(OR(AND($M245&lt;=TODAY(),$N245&lt;&gt;"Y"),AND($O245&lt;=TODAY(),$P245&lt;&gt;"Y"),AND($Q245&lt;=TODAY(),$R245&lt;&gt;"Y")),"DUE","Scheduled")))</f>
        <v/>
      </c>
      <c r="T245" s="20"/>
      <c r="U245" s="23" t="str">
        <f aca="false">IF($B245="","",IF(OR($T245&lt;=2,$I245="Editorial"),"REDO",""))</f>
        <v/>
      </c>
      <c r="V245" s="18" t="str">
        <f aca="false">IF($S245&lt;&gt;"DUE","",COUNTIF($S$3:$S245,"DUE"))</f>
        <v/>
      </c>
    </row>
    <row r="246" customFormat="false" ht="15" hidden="false" customHeight="false" outlineLevel="0" collapsed="false">
      <c r="A246" s="12" t="str">
        <f aca="false">IF($F246="","",ROW()-2)</f>
        <v/>
      </c>
      <c r="B246" s="19"/>
      <c r="C246" s="20"/>
      <c r="D246" s="21"/>
      <c r="E246" s="21"/>
      <c r="F246" s="21"/>
      <c r="G246" s="20"/>
      <c r="H246" s="21"/>
      <c r="I246" s="20"/>
      <c r="J246" s="20"/>
      <c r="K246" s="21"/>
      <c r="L246" s="21"/>
      <c r="M246" s="22" t="str">
        <f aca="false">IF($B246="","",$B246+2)</f>
        <v/>
      </c>
      <c r="N246" s="20"/>
      <c r="O246" s="22" t="str">
        <f aca="false">IF($B246="","",$B246+5)</f>
        <v/>
      </c>
      <c r="P246" s="20"/>
      <c r="Q246" s="22" t="str">
        <f aca="false">IF($B246="","",$B246+10)</f>
        <v/>
      </c>
      <c r="R246" s="20"/>
      <c r="S246" s="23" t="str">
        <f aca="true">IF($B246="","",IF(AND($N246="Y",$P246="Y",$R246="Y"),"Done",IF(OR(AND($M246&lt;=TODAY(),$N246&lt;&gt;"Y"),AND($O246&lt;=TODAY(),$P246&lt;&gt;"Y"),AND($Q246&lt;=TODAY(),$R246&lt;&gt;"Y")),"DUE","Scheduled")))</f>
        <v/>
      </c>
      <c r="T246" s="20"/>
      <c r="U246" s="23" t="str">
        <f aca="false">IF($B246="","",IF(OR($T246&lt;=2,$I246="Editorial"),"REDO",""))</f>
        <v/>
      </c>
      <c r="V246" s="18" t="str">
        <f aca="false">IF($S246&lt;&gt;"DUE","",COUNTIF($S$3:$S246,"DUE"))</f>
        <v/>
      </c>
    </row>
    <row r="247" customFormat="false" ht="15" hidden="false" customHeight="false" outlineLevel="0" collapsed="false">
      <c r="A247" s="12" t="str">
        <f aca="false">IF($F247="","",ROW()-2)</f>
        <v/>
      </c>
      <c r="B247" s="19"/>
      <c r="C247" s="20"/>
      <c r="D247" s="21"/>
      <c r="E247" s="21"/>
      <c r="F247" s="21"/>
      <c r="G247" s="20"/>
      <c r="H247" s="21"/>
      <c r="I247" s="20"/>
      <c r="J247" s="20"/>
      <c r="K247" s="21"/>
      <c r="L247" s="21"/>
      <c r="M247" s="22" t="str">
        <f aca="false">IF($B247="","",$B247+2)</f>
        <v/>
      </c>
      <c r="N247" s="20"/>
      <c r="O247" s="22" t="str">
        <f aca="false">IF($B247="","",$B247+5)</f>
        <v/>
      </c>
      <c r="P247" s="20"/>
      <c r="Q247" s="22" t="str">
        <f aca="false">IF($B247="","",$B247+10)</f>
        <v/>
      </c>
      <c r="R247" s="20"/>
      <c r="S247" s="23" t="str">
        <f aca="true">IF($B247="","",IF(AND($N247="Y",$P247="Y",$R247="Y"),"Done",IF(OR(AND($M247&lt;=TODAY(),$N247&lt;&gt;"Y"),AND($O247&lt;=TODAY(),$P247&lt;&gt;"Y"),AND($Q247&lt;=TODAY(),$R247&lt;&gt;"Y")),"DUE","Scheduled")))</f>
        <v/>
      </c>
      <c r="T247" s="20"/>
      <c r="U247" s="23" t="str">
        <f aca="false">IF($B247="","",IF(OR($T247&lt;=2,$I247="Editorial"),"REDO",""))</f>
        <v/>
      </c>
      <c r="V247" s="18" t="str">
        <f aca="false">IF($S247&lt;&gt;"DUE","",COUNTIF($S$3:$S247,"DUE"))</f>
        <v/>
      </c>
    </row>
    <row r="248" customFormat="false" ht="15" hidden="false" customHeight="false" outlineLevel="0" collapsed="false">
      <c r="A248" s="12" t="str">
        <f aca="false">IF($F248="","",ROW()-2)</f>
        <v/>
      </c>
      <c r="B248" s="19"/>
      <c r="C248" s="20"/>
      <c r="D248" s="21"/>
      <c r="E248" s="21"/>
      <c r="F248" s="21"/>
      <c r="G248" s="20"/>
      <c r="H248" s="21"/>
      <c r="I248" s="20"/>
      <c r="J248" s="20"/>
      <c r="K248" s="21"/>
      <c r="L248" s="21"/>
      <c r="M248" s="22" t="str">
        <f aca="false">IF($B248="","",$B248+2)</f>
        <v/>
      </c>
      <c r="N248" s="20"/>
      <c r="O248" s="22" t="str">
        <f aca="false">IF($B248="","",$B248+5)</f>
        <v/>
      </c>
      <c r="P248" s="20"/>
      <c r="Q248" s="22" t="str">
        <f aca="false">IF($B248="","",$B248+10)</f>
        <v/>
      </c>
      <c r="R248" s="20"/>
      <c r="S248" s="23" t="str">
        <f aca="true">IF($B248="","",IF(AND($N248="Y",$P248="Y",$R248="Y"),"Done",IF(OR(AND($M248&lt;=TODAY(),$N248&lt;&gt;"Y"),AND($O248&lt;=TODAY(),$P248&lt;&gt;"Y"),AND($Q248&lt;=TODAY(),$R248&lt;&gt;"Y")),"DUE","Scheduled")))</f>
        <v/>
      </c>
      <c r="T248" s="20"/>
      <c r="U248" s="23" t="str">
        <f aca="false">IF($B248="","",IF(OR($T248&lt;=2,$I248="Editorial"),"REDO",""))</f>
        <v/>
      </c>
      <c r="V248" s="18" t="str">
        <f aca="false">IF($S248&lt;&gt;"DUE","",COUNTIF($S$3:$S248,"DUE"))</f>
        <v/>
      </c>
    </row>
    <row r="249" customFormat="false" ht="15" hidden="false" customHeight="false" outlineLevel="0" collapsed="false">
      <c r="A249" s="12" t="str">
        <f aca="false">IF($F249="","",ROW()-2)</f>
        <v/>
      </c>
      <c r="B249" s="19"/>
      <c r="C249" s="20"/>
      <c r="D249" s="21"/>
      <c r="E249" s="21"/>
      <c r="F249" s="21"/>
      <c r="G249" s="20"/>
      <c r="H249" s="21"/>
      <c r="I249" s="20"/>
      <c r="J249" s="20"/>
      <c r="K249" s="21"/>
      <c r="L249" s="21"/>
      <c r="M249" s="22" t="str">
        <f aca="false">IF($B249="","",$B249+2)</f>
        <v/>
      </c>
      <c r="N249" s="20"/>
      <c r="O249" s="22" t="str">
        <f aca="false">IF($B249="","",$B249+5)</f>
        <v/>
      </c>
      <c r="P249" s="20"/>
      <c r="Q249" s="22" t="str">
        <f aca="false">IF($B249="","",$B249+10)</f>
        <v/>
      </c>
      <c r="R249" s="20"/>
      <c r="S249" s="23" t="str">
        <f aca="true">IF($B249="","",IF(AND($N249="Y",$P249="Y",$R249="Y"),"Done",IF(OR(AND($M249&lt;=TODAY(),$N249&lt;&gt;"Y"),AND($O249&lt;=TODAY(),$P249&lt;&gt;"Y"),AND($Q249&lt;=TODAY(),$R249&lt;&gt;"Y")),"DUE","Scheduled")))</f>
        <v/>
      </c>
      <c r="T249" s="20"/>
      <c r="U249" s="23" t="str">
        <f aca="false">IF($B249="","",IF(OR($T249&lt;=2,$I249="Editorial"),"REDO",""))</f>
        <v/>
      </c>
      <c r="V249" s="18" t="str">
        <f aca="false">IF($S249&lt;&gt;"DUE","",COUNTIF($S$3:$S249,"DUE"))</f>
        <v/>
      </c>
    </row>
    <row r="250" customFormat="false" ht="15" hidden="false" customHeight="false" outlineLevel="0" collapsed="false">
      <c r="A250" s="12" t="str">
        <f aca="false">IF($F250="","",ROW()-2)</f>
        <v/>
      </c>
      <c r="B250" s="19"/>
      <c r="C250" s="20"/>
      <c r="D250" s="21"/>
      <c r="E250" s="21"/>
      <c r="F250" s="21"/>
      <c r="G250" s="20"/>
      <c r="H250" s="21"/>
      <c r="I250" s="20"/>
      <c r="J250" s="20"/>
      <c r="K250" s="21"/>
      <c r="L250" s="21"/>
      <c r="M250" s="22" t="str">
        <f aca="false">IF($B250="","",$B250+2)</f>
        <v/>
      </c>
      <c r="N250" s="20"/>
      <c r="O250" s="22" t="str">
        <f aca="false">IF($B250="","",$B250+5)</f>
        <v/>
      </c>
      <c r="P250" s="20"/>
      <c r="Q250" s="22" t="str">
        <f aca="false">IF($B250="","",$B250+10)</f>
        <v/>
      </c>
      <c r="R250" s="20"/>
      <c r="S250" s="23" t="str">
        <f aca="true">IF($B250="","",IF(AND($N250="Y",$P250="Y",$R250="Y"),"Done",IF(OR(AND($M250&lt;=TODAY(),$N250&lt;&gt;"Y"),AND($O250&lt;=TODAY(),$P250&lt;&gt;"Y"),AND($Q250&lt;=TODAY(),$R250&lt;&gt;"Y")),"DUE","Scheduled")))</f>
        <v/>
      </c>
      <c r="T250" s="20"/>
      <c r="U250" s="23" t="str">
        <f aca="false">IF($B250="","",IF(OR($T250&lt;=2,$I250="Editorial"),"REDO",""))</f>
        <v/>
      </c>
      <c r="V250" s="18" t="str">
        <f aca="false">IF($S250&lt;&gt;"DUE","",COUNTIF($S$3:$S250,"DUE"))</f>
        <v/>
      </c>
    </row>
    <row r="251" customFormat="false" ht="15" hidden="false" customHeight="false" outlineLevel="0" collapsed="false">
      <c r="A251" s="12" t="str">
        <f aca="false">IF($F251="","",ROW()-2)</f>
        <v/>
      </c>
      <c r="B251" s="19"/>
      <c r="C251" s="20"/>
      <c r="D251" s="21"/>
      <c r="E251" s="21"/>
      <c r="F251" s="21"/>
      <c r="G251" s="20"/>
      <c r="H251" s="21"/>
      <c r="I251" s="20"/>
      <c r="J251" s="20"/>
      <c r="K251" s="21"/>
      <c r="L251" s="21"/>
      <c r="M251" s="22" t="str">
        <f aca="false">IF($B251="","",$B251+2)</f>
        <v/>
      </c>
      <c r="N251" s="20"/>
      <c r="O251" s="22" t="str">
        <f aca="false">IF($B251="","",$B251+5)</f>
        <v/>
      </c>
      <c r="P251" s="20"/>
      <c r="Q251" s="22" t="str">
        <f aca="false">IF($B251="","",$B251+10)</f>
        <v/>
      </c>
      <c r="R251" s="20"/>
      <c r="S251" s="23" t="str">
        <f aca="true">IF($B251="","",IF(AND($N251="Y",$P251="Y",$R251="Y"),"Done",IF(OR(AND($M251&lt;=TODAY(),$N251&lt;&gt;"Y"),AND($O251&lt;=TODAY(),$P251&lt;&gt;"Y"),AND($Q251&lt;=TODAY(),$R251&lt;&gt;"Y")),"DUE","Scheduled")))</f>
        <v/>
      </c>
      <c r="T251" s="20"/>
      <c r="U251" s="23" t="str">
        <f aca="false">IF($B251="","",IF(OR($T251&lt;=2,$I251="Editorial"),"REDO",""))</f>
        <v/>
      </c>
      <c r="V251" s="18" t="str">
        <f aca="false">IF($S251&lt;&gt;"DUE","",COUNTIF($S$3:$S251,"DUE"))</f>
        <v/>
      </c>
    </row>
    <row r="252" customFormat="false" ht="15" hidden="false" customHeight="false" outlineLevel="0" collapsed="false">
      <c r="A252" s="12" t="str">
        <f aca="false">IF($F252="","",ROW()-2)</f>
        <v/>
      </c>
      <c r="B252" s="19"/>
      <c r="C252" s="20"/>
      <c r="D252" s="21"/>
      <c r="E252" s="21"/>
      <c r="F252" s="21"/>
      <c r="G252" s="20"/>
      <c r="H252" s="21"/>
      <c r="I252" s="20"/>
      <c r="J252" s="20"/>
      <c r="K252" s="21"/>
      <c r="L252" s="21"/>
      <c r="M252" s="22" t="str">
        <f aca="false">IF($B252="","",$B252+2)</f>
        <v/>
      </c>
      <c r="N252" s="20"/>
      <c r="O252" s="22" t="str">
        <f aca="false">IF($B252="","",$B252+5)</f>
        <v/>
      </c>
      <c r="P252" s="20"/>
      <c r="Q252" s="22" t="str">
        <f aca="false">IF($B252="","",$B252+10)</f>
        <v/>
      </c>
      <c r="R252" s="20"/>
      <c r="S252" s="23" t="str">
        <f aca="true">IF($B252="","",IF(AND($N252="Y",$P252="Y",$R252="Y"),"Done",IF(OR(AND($M252&lt;=TODAY(),$N252&lt;&gt;"Y"),AND($O252&lt;=TODAY(),$P252&lt;&gt;"Y"),AND($Q252&lt;=TODAY(),$R252&lt;&gt;"Y")),"DUE","Scheduled")))</f>
        <v/>
      </c>
      <c r="T252" s="20"/>
      <c r="U252" s="23" t="str">
        <f aca="false">IF($B252="","",IF(OR($T252&lt;=2,$I252="Editorial"),"REDO",""))</f>
        <v/>
      </c>
      <c r="V252" s="18" t="str">
        <f aca="false">IF($S252&lt;&gt;"DUE","",COUNTIF($S$3:$S252,"DUE"))</f>
        <v/>
      </c>
    </row>
    <row r="253" customFormat="false" ht="15" hidden="false" customHeight="false" outlineLevel="0" collapsed="false">
      <c r="A253" s="12" t="str">
        <f aca="false">IF($F253="","",ROW()-2)</f>
        <v/>
      </c>
      <c r="B253" s="19"/>
      <c r="C253" s="20"/>
      <c r="D253" s="21"/>
      <c r="E253" s="21"/>
      <c r="F253" s="21"/>
      <c r="G253" s="20"/>
      <c r="H253" s="21"/>
      <c r="I253" s="20"/>
      <c r="J253" s="20"/>
      <c r="K253" s="21"/>
      <c r="L253" s="21"/>
      <c r="M253" s="22" t="str">
        <f aca="false">IF($B253="","",$B253+2)</f>
        <v/>
      </c>
      <c r="N253" s="20"/>
      <c r="O253" s="22" t="str">
        <f aca="false">IF($B253="","",$B253+5)</f>
        <v/>
      </c>
      <c r="P253" s="20"/>
      <c r="Q253" s="22" t="str">
        <f aca="false">IF($B253="","",$B253+10)</f>
        <v/>
      </c>
      <c r="R253" s="20"/>
      <c r="S253" s="23" t="str">
        <f aca="true">IF($B253="","",IF(AND($N253="Y",$P253="Y",$R253="Y"),"Done",IF(OR(AND($M253&lt;=TODAY(),$N253&lt;&gt;"Y"),AND($O253&lt;=TODAY(),$P253&lt;&gt;"Y"),AND($Q253&lt;=TODAY(),$R253&lt;&gt;"Y")),"DUE","Scheduled")))</f>
        <v/>
      </c>
      <c r="T253" s="20"/>
      <c r="U253" s="23" t="str">
        <f aca="false">IF($B253="","",IF(OR($T253&lt;=2,$I253="Editorial"),"REDO",""))</f>
        <v/>
      </c>
      <c r="V253" s="18" t="str">
        <f aca="false">IF($S253&lt;&gt;"DUE","",COUNTIF($S$3:$S253,"DUE"))</f>
        <v/>
      </c>
    </row>
    <row r="254" customFormat="false" ht="15" hidden="false" customHeight="false" outlineLevel="0" collapsed="false">
      <c r="A254" s="12" t="str">
        <f aca="false">IF($F254="","",ROW()-2)</f>
        <v/>
      </c>
      <c r="B254" s="19"/>
      <c r="C254" s="20"/>
      <c r="D254" s="21"/>
      <c r="E254" s="21"/>
      <c r="F254" s="21"/>
      <c r="G254" s="20"/>
      <c r="H254" s="21"/>
      <c r="I254" s="20"/>
      <c r="J254" s="20"/>
      <c r="K254" s="21"/>
      <c r="L254" s="21"/>
      <c r="M254" s="22" t="str">
        <f aca="false">IF($B254="","",$B254+2)</f>
        <v/>
      </c>
      <c r="N254" s="20"/>
      <c r="O254" s="22" t="str">
        <f aca="false">IF($B254="","",$B254+5)</f>
        <v/>
      </c>
      <c r="P254" s="20"/>
      <c r="Q254" s="22" t="str">
        <f aca="false">IF($B254="","",$B254+10)</f>
        <v/>
      </c>
      <c r="R254" s="20"/>
      <c r="S254" s="23" t="str">
        <f aca="true">IF($B254="","",IF(AND($N254="Y",$P254="Y",$R254="Y"),"Done",IF(OR(AND($M254&lt;=TODAY(),$N254&lt;&gt;"Y"),AND($O254&lt;=TODAY(),$P254&lt;&gt;"Y"),AND($Q254&lt;=TODAY(),$R254&lt;&gt;"Y")),"DUE","Scheduled")))</f>
        <v/>
      </c>
      <c r="T254" s="20"/>
      <c r="U254" s="23" t="str">
        <f aca="false">IF($B254="","",IF(OR($T254&lt;=2,$I254="Editorial"),"REDO",""))</f>
        <v/>
      </c>
      <c r="V254" s="18" t="str">
        <f aca="false">IF($S254&lt;&gt;"DUE","",COUNTIF($S$3:$S254,"DUE"))</f>
        <v/>
      </c>
    </row>
    <row r="255" customFormat="false" ht="15" hidden="false" customHeight="false" outlineLevel="0" collapsed="false">
      <c r="A255" s="12" t="str">
        <f aca="false">IF($F255="","",ROW()-2)</f>
        <v/>
      </c>
      <c r="B255" s="19"/>
      <c r="C255" s="20"/>
      <c r="D255" s="21"/>
      <c r="E255" s="21"/>
      <c r="F255" s="21"/>
      <c r="G255" s="20"/>
      <c r="H255" s="21"/>
      <c r="I255" s="20"/>
      <c r="J255" s="20"/>
      <c r="K255" s="21"/>
      <c r="L255" s="21"/>
      <c r="M255" s="22" t="str">
        <f aca="false">IF($B255="","",$B255+2)</f>
        <v/>
      </c>
      <c r="N255" s="20"/>
      <c r="O255" s="22" t="str">
        <f aca="false">IF($B255="","",$B255+5)</f>
        <v/>
      </c>
      <c r="P255" s="20"/>
      <c r="Q255" s="22" t="str">
        <f aca="false">IF($B255="","",$B255+10)</f>
        <v/>
      </c>
      <c r="R255" s="20"/>
      <c r="S255" s="23" t="str">
        <f aca="true">IF($B255="","",IF(AND($N255="Y",$P255="Y",$R255="Y"),"Done",IF(OR(AND($M255&lt;=TODAY(),$N255&lt;&gt;"Y"),AND($O255&lt;=TODAY(),$P255&lt;&gt;"Y"),AND($Q255&lt;=TODAY(),$R255&lt;&gt;"Y")),"DUE","Scheduled")))</f>
        <v/>
      </c>
      <c r="T255" s="20"/>
      <c r="U255" s="23" t="str">
        <f aca="false">IF($B255="","",IF(OR($T255&lt;=2,$I255="Editorial"),"REDO",""))</f>
        <v/>
      </c>
      <c r="V255" s="18" t="str">
        <f aca="false">IF($S255&lt;&gt;"DUE","",COUNTIF($S$3:$S255,"DUE"))</f>
        <v/>
      </c>
    </row>
    <row r="256" customFormat="false" ht="15" hidden="false" customHeight="false" outlineLevel="0" collapsed="false">
      <c r="A256" s="12" t="str">
        <f aca="false">IF($F256="","",ROW()-2)</f>
        <v/>
      </c>
      <c r="B256" s="19"/>
      <c r="C256" s="20"/>
      <c r="D256" s="21"/>
      <c r="E256" s="21"/>
      <c r="F256" s="21"/>
      <c r="G256" s="20"/>
      <c r="H256" s="21"/>
      <c r="I256" s="20"/>
      <c r="J256" s="20"/>
      <c r="K256" s="21"/>
      <c r="L256" s="21"/>
      <c r="M256" s="22" t="str">
        <f aca="false">IF($B256="","",$B256+2)</f>
        <v/>
      </c>
      <c r="N256" s="20"/>
      <c r="O256" s="22" t="str">
        <f aca="false">IF($B256="","",$B256+5)</f>
        <v/>
      </c>
      <c r="P256" s="20"/>
      <c r="Q256" s="22" t="str">
        <f aca="false">IF($B256="","",$B256+10)</f>
        <v/>
      </c>
      <c r="R256" s="20"/>
      <c r="S256" s="23" t="str">
        <f aca="true">IF($B256="","",IF(AND($N256="Y",$P256="Y",$R256="Y"),"Done",IF(OR(AND($M256&lt;=TODAY(),$N256&lt;&gt;"Y"),AND($O256&lt;=TODAY(),$P256&lt;&gt;"Y"),AND($Q256&lt;=TODAY(),$R256&lt;&gt;"Y")),"DUE","Scheduled")))</f>
        <v/>
      </c>
      <c r="T256" s="20"/>
      <c r="U256" s="23" t="str">
        <f aca="false">IF($B256="","",IF(OR($T256&lt;=2,$I256="Editorial"),"REDO",""))</f>
        <v/>
      </c>
      <c r="V256" s="18" t="str">
        <f aca="false">IF($S256&lt;&gt;"DUE","",COUNTIF($S$3:$S256,"DUE"))</f>
        <v/>
      </c>
    </row>
    <row r="257" customFormat="false" ht="15" hidden="false" customHeight="false" outlineLevel="0" collapsed="false">
      <c r="A257" s="12" t="str">
        <f aca="false">IF($F257="","",ROW()-2)</f>
        <v/>
      </c>
      <c r="B257" s="19"/>
      <c r="C257" s="20"/>
      <c r="D257" s="21"/>
      <c r="E257" s="21"/>
      <c r="F257" s="21"/>
      <c r="G257" s="20"/>
      <c r="H257" s="21"/>
      <c r="I257" s="20"/>
      <c r="J257" s="20"/>
      <c r="K257" s="21"/>
      <c r="L257" s="21"/>
      <c r="M257" s="22" t="str">
        <f aca="false">IF($B257="","",$B257+2)</f>
        <v/>
      </c>
      <c r="N257" s="20"/>
      <c r="O257" s="22" t="str">
        <f aca="false">IF($B257="","",$B257+5)</f>
        <v/>
      </c>
      <c r="P257" s="20"/>
      <c r="Q257" s="22" t="str">
        <f aca="false">IF($B257="","",$B257+10)</f>
        <v/>
      </c>
      <c r="R257" s="20"/>
      <c r="S257" s="23" t="str">
        <f aca="true">IF($B257="","",IF(AND($N257="Y",$P257="Y",$R257="Y"),"Done",IF(OR(AND($M257&lt;=TODAY(),$N257&lt;&gt;"Y"),AND($O257&lt;=TODAY(),$P257&lt;&gt;"Y"),AND($Q257&lt;=TODAY(),$R257&lt;&gt;"Y")),"DUE","Scheduled")))</f>
        <v/>
      </c>
      <c r="T257" s="20"/>
      <c r="U257" s="23" t="str">
        <f aca="false">IF($B257="","",IF(OR($T257&lt;=2,$I257="Editorial"),"REDO",""))</f>
        <v/>
      </c>
      <c r="V257" s="18" t="str">
        <f aca="false">IF($S257&lt;&gt;"DUE","",COUNTIF($S$3:$S257,"DUE"))</f>
        <v/>
      </c>
    </row>
    <row r="258" customFormat="false" ht="15" hidden="false" customHeight="false" outlineLevel="0" collapsed="false">
      <c r="A258" s="12" t="str">
        <f aca="false">IF($F258="","",ROW()-2)</f>
        <v/>
      </c>
      <c r="B258" s="19"/>
      <c r="C258" s="20"/>
      <c r="D258" s="21"/>
      <c r="E258" s="21"/>
      <c r="F258" s="21"/>
      <c r="G258" s="20"/>
      <c r="H258" s="21"/>
      <c r="I258" s="20"/>
      <c r="J258" s="20"/>
      <c r="K258" s="21"/>
      <c r="L258" s="21"/>
      <c r="M258" s="22" t="str">
        <f aca="false">IF($B258="","",$B258+2)</f>
        <v/>
      </c>
      <c r="N258" s="20"/>
      <c r="O258" s="22" t="str">
        <f aca="false">IF($B258="","",$B258+5)</f>
        <v/>
      </c>
      <c r="P258" s="20"/>
      <c r="Q258" s="22" t="str">
        <f aca="false">IF($B258="","",$B258+10)</f>
        <v/>
      </c>
      <c r="R258" s="20"/>
      <c r="S258" s="23" t="str">
        <f aca="true">IF($B258="","",IF(AND($N258="Y",$P258="Y",$R258="Y"),"Done",IF(OR(AND($M258&lt;=TODAY(),$N258&lt;&gt;"Y"),AND($O258&lt;=TODAY(),$P258&lt;&gt;"Y"),AND($Q258&lt;=TODAY(),$R258&lt;&gt;"Y")),"DUE","Scheduled")))</f>
        <v/>
      </c>
      <c r="T258" s="20"/>
      <c r="U258" s="23" t="str">
        <f aca="false">IF($B258="","",IF(OR($T258&lt;=2,$I258="Editorial"),"REDO",""))</f>
        <v/>
      </c>
      <c r="V258" s="18" t="str">
        <f aca="false">IF($S258&lt;&gt;"DUE","",COUNTIF($S$3:$S258,"DUE"))</f>
        <v/>
      </c>
    </row>
    <row r="259" customFormat="false" ht="15" hidden="false" customHeight="false" outlineLevel="0" collapsed="false">
      <c r="A259" s="12" t="str">
        <f aca="false">IF($F259="","",ROW()-2)</f>
        <v/>
      </c>
      <c r="B259" s="19"/>
      <c r="C259" s="20"/>
      <c r="D259" s="21"/>
      <c r="E259" s="21"/>
      <c r="F259" s="21"/>
      <c r="G259" s="20"/>
      <c r="H259" s="21"/>
      <c r="I259" s="20"/>
      <c r="J259" s="20"/>
      <c r="K259" s="21"/>
      <c r="L259" s="21"/>
      <c r="M259" s="22" t="str">
        <f aca="false">IF($B259="","",$B259+2)</f>
        <v/>
      </c>
      <c r="N259" s="20"/>
      <c r="O259" s="22" t="str">
        <f aca="false">IF($B259="","",$B259+5)</f>
        <v/>
      </c>
      <c r="P259" s="20"/>
      <c r="Q259" s="22" t="str">
        <f aca="false">IF($B259="","",$B259+10)</f>
        <v/>
      </c>
      <c r="R259" s="20"/>
      <c r="S259" s="23" t="str">
        <f aca="true">IF($B259="","",IF(AND($N259="Y",$P259="Y",$R259="Y"),"Done",IF(OR(AND($M259&lt;=TODAY(),$N259&lt;&gt;"Y"),AND($O259&lt;=TODAY(),$P259&lt;&gt;"Y"),AND($Q259&lt;=TODAY(),$R259&lt;&gt;"Y")),"DUE","Scheduled")))</f>
        <v/>
      </c>
      <c r="T259" s="20"/>
      <c r="U259" s="23" t="str">
        <f aca="false">IF($B259="","",IF(OR($T259&lt;=2,$I259="Editorial"),"REDO",""))</f>
        <v/>
      </c>
      <c r="V259" s="18" t="str">
        <f aca="false">IF($S259&lt;&gt;"DUE","",COUNTIF($S$3:$S259,"DUE"))</f>
        <v/>
      </c>
    </row>
    <row r="260" customFormat="false" ht="15" hidden="false" customHeight="false" outlineLevel="0" collapsed="false">
      <c r="A260" s="12" t="str">
        <f aca="false">IF($F260="","",ROW()-2)</f>
        <v/>
      </c>
      <c r="B260" s="19"/>
      <c r="C260" s="20"/>
      <c r="D260" s="21"/>
      <c r="E260" s="21"/>
      <c r="F260" s="21"/>
      <c r="G260" s="20"/>
      <c r="H260" s="21"/>
      <c r="I260" s="20"/>
      <c r="J260" s="20"/>
      <c r="K260" s="21"/>
      <c r="L260" s="21"/>
      <c r="M260" s="22" t="str">
        <f aca="false">IF($B260="","",$B260+2)</f>
        <v/>
      </c>
      <c r="N260" s="20"/>
      <c r="O260" s="22" t="str">
        <f aca="false">IF($B260="","",$B260+5)</f>
        <v/>
      </c>
      <c r="P260" s="20"/>
      <c r="Q260" s="22" t="str">
        <f aca="false">IF($B260="","",$B260+10)</f>
        <v/>
      </c>
      <c r="R260" s="20"/>
      <c r="S260" s="23" t="str">
        <f aca="true">IF($B260="","",IF(AND($N260="Y",$P260="Y",$R260="Y"),"Done",IF(OR(AND($M260&lt;=TODAY(),$N260&lt;&gt;"Y"),AND($O260&lt;=TODAY(),$P260&lt;&gt;"Y"),AND($Q260&lt;=TODAY(),$R260&lt;&gt;"Y")),"DUE","Scheduled")))</f>
        <v/>
      </c>
      <c r="T260" s="20"/>
      <c r="U260" s="23" t="str">
        <f aca="false">IF($B260="","",IF(OR($T260&lt;=2,$I260="Editorial"),"REDO",""))</f>
        <v/>
      </c>
      <c r="V260" s="18" t="str">
        <f aca="false">IF($S260&lt;&gt;"DUE","",COUNTIF($S$3:$S260,"DUE"))</f>
        <v/>
      </c>
    </row>
    <row r="261" customFormat="false" ht="15" hidden="false" customHeight="false" outlineLevel="0" collapsed="false">
      <c r="A261" s="12" t="str">
        <f aca="false">IF($F261="","",ROW()-2)</f>
        <v/>
      </c>
      <c r="B261" s="19"/>
      <c r="C261" s="20"/>
      <c r="D261" s="21"/>
      <c r="E261" s="21"/>
      <c r="F261" s="21"/>
      <c r="G261" s="20"/>
      <c r="H261" s="21"/>
      <c r="I261" s="20"/>
      <c r="J261" s="20"/>
      <c r="K261" s="21"/>
      <c r="L261" s="21"/>
      <c r="M261" s="22" t="str">
        <f aca="false">IF($B261="","",$B261+2)</f>
        <v/>
      </c>
      <c r="N261" s="20"/>
      <c r="O261" s="22" t="str">
        <f aca="false">IF($B261="","",$B261+5)</f>
        <v/>
      </c>
      <c r="P261" s="20"/>
      <c r="Q261" s="22" t="str">
        <f aca="false">IF($B261="","",$B261+10)</f>
        <v/>
      </c>
      <c r="R261" s="20"/>
      <c r="S261" s="23" t="str">
        <f aca="true">IF($B261="","",IF(AND($N261="Y",$P261="Y",$R261="Y"),"Done",IF(OR(AND($M261&lt;=TODAY(),$N261&lt;&gt;"Y"),AND($O261&lt;=TODAY(),$P261&lt;&gt;"Y"),AND($Q261&lt;=TODAY(),$R261&lt;&gt;"Y")),"DUE","Scheduled")))</f>
        <v/>
      </c>
      <c r="T261" s="20"/>
      <c r="U261" s="23" t="str">
        <f aca="false">IF($B261="","",IF(OR($T261&lt;=2,$I261="Editorial"),"REDO",""))</f>
        <v/>
      </c>
      <c r="V261" s="18" t="str">
        <f aca="false">IF($S261&lt;&gt;"DUE","",COUNTIF($S$3:$S261,"DUE"))</f>
        <v/>
      </c>
    </row>
    <row r="262" customFormat="false" ht="15" hidden="false" customHeight="false" outlineLevel="0" collapsed="false">
      <c r="A262" s="12" t="str">
        <f aca="false">IF($F262="","",ROW()-2)</f>
        <v/>
      </c>
      <c r="B262" s="19"/>
      <c r="C262" s="20"/>
      <c r="D262" s="21"/>
      <c r="E262" s="21"/>
      <c r="F262" s="21"/>
      <c r="G262" s="20"/>
      <c r="H262" s="21"/>
      <c r="I262" s="20"/>
      <c r="J262" s="20"/>
      <c r="K262" s="21"/>
      <c r="L262" s="21"/>
      <c r="M262" s="22" t="str">
        <f aca="false">IF($B262="","",$B262+2)</f>
        <v/>
      </c>
      <c r="N262" s="20"/>
      <c r="O262" s="22" t="str">
        <f aca="false">IF($B262="","",$B262+5)</f>
        <v/>
      </c>
      <c r="P262" s="20"/>
      <c r="Q262" s="22" t="str">
        <f aca="false">IF($B262="","",$B262+10)</f>
        <v/>
      </c>
      <c r="R262" s="20"/>
      <c r="S262" s="23" t="str">
        <f aca="true">IF($B262="","",IF(AND($N262="Y",$P262="Y",$R262="Y"),"Done",IF(OR(AND($M262&lt;=TODAY(),$N262&lt;&gt;"Y"),AND($O262&lt;=TODAY(),$P262&lt;&gt;"Y"),AND($Q262&lt;=TODAY(),$R262&lt;&gt;"Y")),"DUE","Scheduled")))</f>
        <v/>
      </c>
      <c r="T262" s="20"/>
      <c r="U262" s="23" t="str">
        <f aca="false">IF($B262="","",IF(OR($T262&lt;=2,$I262="Editorial"),"REDO",""))</f>
        <v/>
      </c>
      <c r="V262" s="18" t="str">
        <f aca="false">IF($S262&lt;&gt;"DUE","",COUNTIF($S$3:$S262,"DUE"))</f>
        <v/>
      </c>
    </row>
    <row r="263" customFormat="false" ht="15" hidden="false" customHeight="false" outlineLevel="0" collapsed="false">
      <c r="A263" s="12" t="str">
        <f aca="false">IF($F263="","",ROW()-2)</f>
        <v/>
      </c>
      <c r="B263" s="19"/>
      <c r="C263" s="20"/>
      <c r="D263" s="21"/>
      <c r="E263" s="21"/>
      <c r="F263" s="21"/>
      <c r="G263" s="20"/>
      <c r="H263" s="21"/>
      <c r="I263" s="20"/>
      <c r="J263" s="20"/>
      <c r="K263" s="21"/>
      <c r="L263" s="21"/>
      <c r="M263" s="22" t="str">
        <f aca="false">IF($B263="","",$B263+2)</f>
        <v/>
      </c>
      <c r="N263" s="20"/>
      <c r="O263" s="22" t="str">
        <f aca="false">IF($B263="","",$B263+5)</f>
        <v/>
      </c>
      <c r="P263" s="20"/>
      <c r="Q263" s="22" t="str">
        <f aca="false">IF($B263="","",$B263+10)</f>
        <v/>
      </c>
      <c r="R263" s="20"/>
      <c r="S263" s="23" t="str">
        <f aca="true">IF($B263="","",IF(AND($N263="Y",$P263="Y",$R263="Y"),"Done",IF(OR(AND($M263&lt;=TODAY(),$N263&lt;&gt;"Y"),AND($O263&lt;=TODAY(),$P263&lt;&gt;"Y"),AND($Q263&lt;=TODAY(),$R263&lt;&gt;"Y")),"DUE","Scheduled")))</f>
        <v/>
      </c>
      <c r="T263" s="20"/>
      <c r="U263" s="23" t="str">
        <f aca="false">IF($B263="","",IF(OR($T263&lt;=2,$I263="Editorial"),"REDO",""))</f>
        <v/>
      </c>
      <c r="V263" s="18" t="str">
        <f aca="false">IF($S263&lt;&gt;"DUE","",COUNTIF($S$3:$S263,"DUE"))</f>
        <v/>
      </c>
    </row>
    <row r="264" customFormat="false" ht="15" hidden="false" customHeight="false" outlineLevel="0" collapsed="false">
      <c r="A264" s="12" t="str">
        <f aca="false">IF($F264="","",ROW()-2)</f>
        <v/>
      </c>
      <c r="B264" s="19"/>
      <c r="C264" s="20"/>
      <c r="D264" s="21"/>
      <c r="E264" s="21"/>
      <c r="F264" s="21"/>
      <c r="G264" s="20"/>
      <c r="H264" s="21"/>
      <c r="I264" s="20"/>
      <c r="J264" s="20"/>
      <c r="K264" s="21"/>
      <c r="L264" s="21"/>
      <c r="M264" s="22" t="str">
        <f aca="false">IF($B264="","",$B264+2)</f>
        <v/>
      </c>
      <c r="N264" s="20"/>
      <c r="O264" s="22" t="str">
        <f aca="false">IF($B264="","",$B264+5)</f>
        <v/>
      </c>
      <c r="P264" s="20"/>
      <c r="Q264" s="22" t="str">
        <f aca="false">IF($B264="","",$B264+10)</f>
        <v/>
      </c>
      <c r="R264" s="20"/>
      <c r="S264" s="23" t="str">
        <f aca="true">IF($B264="","",IF(AND($N264="Y",$P264="Y",$R264="Y"),"Done",IF(OR(AND($M264&lt;=TODAY(),$N264&lt;&gt;"Y"),AND($O264&lt;=TODAY(),$P264&lt;&gt;"Y"),AND($Q264&lt;=TODAY(),$R264&lt;&gt;"Y")),"DUE","Scheduled")))</f>
        <v/>
      </c>
      <c r="T264" s="20"/>
      <c r="U264" s="23" t="str">
        <f aca="false">IF($B264="","",IF(OR($T264&lt;=2,$I264="Editorial"),"REDO",""))</f>
        <v/>
      </c>
      <c r="V264" s="18" t="str">
        <f aca="false">IF($S264&lt;&gt;"DUE","",COUNTIF($S$3:$S264,"DUE"))</f>
        <v/>
      </c>
    </row>
    <row r="265" customFormat="false" ht="15" hidden="false" customHeight="false" outlineLevel="0" collapsed="false">
      <c r="A265" s="12" t="str">
        <f aca="false">IF($F265="","",ROW()-2)</f>
        <v/>
      </c>
      <c r="B265" s="19"/>
      <c r="C265" s="20"/>
      <c r="D265" s="21"/>
      <c r="E265" s="21"/>
      <c r="F265" s="21"/>
      <c r="G265" s="20"/>
      <c r="H265" s="21"/>
      <c r="I265" s="20"/>
      <c r="J265" s="20"/>
      <c r="K265" s="21"/>
      <c r="L265" s="21"/>
      <c r="M265" s="22" t="str">
        <f aca="false">IF($B265="","",$B265+2)</f>
        <v/>
      </c>
      <c r="N265" s="20"/>
      <c r="O265" s="22" t="str">
        <f aca="false">IF($B265="","",$B265+5)</f>
        <v/>
      </c>
      <c r="P265" s="20"/>
      <c r="Q265" s="22" t="str">
        <f aca="false">IF($B265="","",$B265+10)</f>
        <v/>
      </c>
      <c r="R265" s="20"/>
      <c r="S265" s="23" t="str">
        <f aca="true">IF($B265="","",IF(AND($N265="Y",$P265="Y",$R265="Y"),"Done",IF(OR(AND($M265&lt;=TODAY(),$N265&lt;&gt;"Y"),AND($O265&lt;=TODAY(),$P265&lt;&gt;"Y"),AND($Q265&lt;=TODAY(),$R265&lt;&gt;"Y")),"DUE","Scheduled")))</f>
        <v/>
      </c>
      <c r="T265" s="20"/>
      <c r="U265" s="23" t="str">
        <f aca="false">IF($B265="","",IF(OR($T265&lt;=2,$I265="Editorial"),"REDO",""))</f>
        <v/>
      </c>
      <c r="V265" s="18" t="str">
        <f aca="false">IF($S265&lt;&gt;"DUE","",COUNTIF($S$3:$S265,"DUE"))</f>
        <v/>
      </c>
    </row>
    <row r="266" customFormat="false" ht="15" hidden="false" customHeight="false" outlineLevel="0" collapsed="false">
      <c r="A266" s="12" t="str">
        <f aca="false">IF($F266="","",ROW()-2)</f>
        <v/>
      </c>
      <c r="B266" s="19"/>
      <c r="C266" s="20"/>
      <c r="D266" s="21"/>
      <c r="E266" s="21"/>
      <c r="F266" s="21"/>
      <c r="G266" s="20"/>
      <c r="H266" s="21"/>
      <c r="I266" s="20"/>
      <c r="J266" s="20"/>
      <c r="K266" s="21"/>
      <c r="L266" s="21"/>
      <c r="M266" s="22" t="str">
        <f aca="false">IF($B266="","",$B266+2)</f>
        <v/>
      </c>
      <c r="N266" s="20"/>
      <c r="O266" s="22" t="str">
        <f aca="false">IF($B266="","",$B266+5)</f>
        <v/>
      </c>
      <c r="P266" s="20"/>
      <c r="Q266" s="22" t="str">
        <f aca="false">IF($B266="","",$B266+10)</f>
        <v/>
      </c>
      <c r="R266" s="20"/>
      <c r="S266" s="23" t="str">
        <f aca="true">IF($B266="","",IF(AND($N266="Y",$P266="Y",$R266="Y"),"Done",IF(OR(AND($M266&lt;=TODAY(),$N266&lt;&gt;"Y"),AND($O266&lt;=TODAY(),$P266&lt;&gt;"Y"),AND($Q266&lt;=TODAY(),$R266&lt;&gt;"Y")),"DUE","Scheduled")))</f>
        <v/>
      </c>
      <c r="T266" s="20"/>
      <c r="U266" s="23" t="str">
        <f aca="false">IF($B266="","",IF(OR($T266&lt;=2,$I266="Editorial"),"REDO",""))</f>
        <v/>
      </c>
      <c r="V266" s="18" t="str">
        <f aca="false">IF($S266&lt;&gt;"DUE","",COUNTIF($S$3:$S266,"DUE"))</f>
        <v/>
      </c>
    </row>
    <row r="267" customFormat="false" ht="15" hidden="false" customHeight="false" outlineLevel="0" collapsed="false">
      <c r="A267" s="12" t="str">
        <f aca="false">IF($F267="","",ROW()-2)</f>
        <v/>
      </c>
      <c r="B267" s="19"/>
      <c r="C267" s="20"/>
      <c r="D267" s="21"/>
      <c r="E267" s="21"/>
      <c r="F267" s="21"/>
      <c r="G267" s="20"/>
      <c r="H267" s="21"/>
      <c r="I267" s="20"/>
      <c r="J267" s="20"/>
      <c r="K267" s="21"/>
      <c r="L267" s="21"/>
      <c r="M267" s="22" t="str">
        <f aca="false">IF($B267="","",$B267+2)</f>
        <v/>
      </c>
      <c r="N267" s="20"/>
      <c r="O267" s="22" t="str">
        <f aca="false">IF($B267="","",$B267+5)</f>
        <v/>
      </c>
      <c r="P267" s="20"/>
      <c r="Q267" s="22" t="str">
        <f aca="false">IF($B267="","",$B267+10)</f>
        <v/>
      </c>
      <c r="R267" s="20"/>
      <c r="S267" s="23" t="str">
        <f aca="true">IF($B267="","",IF(AND($N267="Y",$P267="Y",$R267="Y"),"Done",IF(OR(AND($M267&lt;=TODAY(),$N267&lt;&gt;"Y"),AND($O267&lt;=TODAY(),$P267&lt;&gt;"Y"),AND($Q267&lt;=TODAY(),$R267&lt;&gt;"Y")),"DUE","Scheduled")))</f>
        <v/>
      </c>
      <c r="T267" s="20"/>
      <c r="U267" s="23" t="str">
        <f aca="false">IF($B267="","",IF(OR($T267&lt;=2,$I267="Editorial"),"REDO",""))</f>
        <v/>
      </c>
      <c r="V267" s="18" t="str">
        <f aca="false">IF($S267&lt;&gt;"DUE","",COUNTIF($S$3:$S267,"DUE"))</f>
        <v/>
      </c>
    </row>
    <row r="268" customFormat="false" ht="15" hidden="false" customHeight="false" outlineLevel="0" collapsed="false">
      <c r="A268" s="12" t="str">
        <f aca="false">IF($F268="","",ROW()-2)</f>
        <v/>
      </c>
      <c r="B268" s="19"/>
      <c r="C268" s="20"/>
      <c r="D268" s="21"/>
      <c r="E268" s="21"/>
      <c r="F268" s="21"/>
      <c r="G268" s="20"/>
      <c r="H268" s="21"/>
      <c r="I268" s="20"/>
      <c r="J268" s="20"/>
      <c r="K268" s="21"/>
      <c r="L268" s="21"/>
      <c r="M268" s="22" t="str">
        <f aca="false">IF($B268="","",$B268+2)</f>
        <v/>
      </c>
      <c r="N268" s="20"/>
      <c r="O268" s="22" t="str">
        <f aca="false">IF($B268="","",$B268+5)</f>
        <v/>
      </c>
      <c r="P268" s="20"/>
      <c r="Q268" s="22" t="str">
        <f aca="false">IF($B268="","",$B268+10)</f>
        <v/>
      </c>
      <c r="R268" s="20"/>
      <c r="S268" s="23" t="str">
        <f aca="true">IF($B268="","",IF(AND($N268="Y",$P268="Y",$R268="Y"),"Done",IF(OR(AND($M268&lt;=TODAY(),$N268&lt;&gt;"Y"),AND($O268&lt;=TODAY(),$P268&lt;&gt;"Y"),AND($Q268&lt;=TODAY(),$R268&lt;&gt;"Y")),"DUE","Scheduled")))</f>
        <v/>
      </c>
      <c r="T268" s="20"/>
      <c r="U268" s="23" t="str">
        <f aca="false">IF($B268="","",IF(OR($T268&lt;=2,$I268="Editorial"),"REDO",""))</f>
        <v/>
      </c>
      <c r="V268" s="18" t="str">
        <f aca="false">IF($S268&lt;&gt;"DUE","",COUNTIF($S$3:$S268,"DUE"))</f>
        <v/>
      </c>
    </row>
    <row r="269" customFormat="false" ht="15" hidden="false" customHeight="false" outlineLevel="0" collapsed="false">
      <c r="A269" s="12" t="str">
        <f aca="false">IF($F269="","",ROW()-2)</f>
        <v/>
      </c>
      <c r="B269" s="19"/>
      <c r="C269" s="20"/>
      <c r="D269" s="21"/>
      <c r="E269" s="21"/>
      <c r="F269" s="21"/>
      <c r="G269" s="20"/>
      <c r="H269" s="21"/>
      <c r="I269" s="20"/>
      <c r="J269" s="20"/>
      <c r="K269" s="21"/>
      <c r="L269" s="21"/>
      <c r="M269" s="22" t="str">
        <f aca="false">IF($B269="","",$B269+2)</f>
        <v/>
      </c>
      <c r="N269" s="20"/>
      <c r="O269" s="22" t="str">
        <f aca="false">IF($B269="","",$B269+5)</f>
        <v/>
      </c>
      <c r="P269" s="20"/>
      <c r="Q269" s="22" t="str">
        <f aca="false">IF($B269="","",$B269+10)</f>
        <v/>
      </c>
      <c r="R269" s="20"/>
      <c r="S269" s="23" t="str">
        <f aca="true">IF($B269="","",IF(AND($N269="Y",$P269="Y",$R269="Y"),"Done",IF(OR(AND($M269&lt;=TODAY(),$N269&lt;&gt;"Y"),AND($O269&lt;=TODAY(),$P269&lt;&gt;"Y"),AND($Q269&lt;=TODAY(),$R269&lt;&gt;"Y")),"DUE","Scheduled")))</f>
        <v/>
      </c>
      <c r="T269" s="20"/>
      <c r="U269" s="23" t="str">
        <f aca="false">IF($B269="","",IF(OR($T269&lt;=2,$I269="Editorial"),"REDO",""))</f>
        <v/>
      </c>
      <c r="V269" s="18" t="str">
        <f aca="false">IF($S269&lt;&gt;"DUE","",COUNTIF($S$3:$S269,"DUE"))</f>
        <v/>
      </c>
    </row>
    <row r="270" customFormat="false" ht="15" hidden="false" customHeight="false" outlineLevel="0" collapsed="false">
      <c r="A270" s="12" t="str">
        <f aca="false">IF($F270="","",ROW()-2)</f>
        <v/>
      </c>
      <c r="B270" s="19"/>
      <c r="C270" s="20"/>
      <c r="D270" s="21"/>
      <c r="E270" s="21"/>
      <c r="F270" s="21"/>
      <c r="G270" s="20"/>
      <c r="H270" s="21"/>
      <c r="I270" s="20"/>
      <c r="J270" s="20"/>
      <c r="K270" s="21"/>
      <c r="L270" s="21"/>
      <c r="M270" s="22" t="str">
        <f aca="false">IF($B270="","",$B270+2)</f>
        <v/>
      </c>
      <c r="N270" s="20"/>
      <c r="O270" s="22" t="str">
        <f aca="false">IF($B270="","",$B270+5)</f>
        <v/>
      </c>
      <c r="P270" s="20"/>
      <c r="Q270" s="22" t="str">
        <f aca="false">IF($B270="","",$B270+10)</f>
        <v/>
      </c>
      <c r="R270" s="20"/>
      <c r="S270" s="23" t="str">
        <f aca="true">IF($B270="","",IF(AND($N270="Y",$P270="Y",$R270="Y"),"Done",IF(OR(AND($M270&lt;=TODAY(),$N270&lt;&gt;"Y"),AND($O270&lt;=TODAY(),$P270&lt;&gt;"Y"),AND($Q270&lt;=TODAY(),$R270&lt;&gt;"Y")),"DUE","Scheduled")))</f>
        <v/>
      </c>
      <c r="T270" s="20"/>
      <c r="U270" s="23" t="str">
        <f aca="false">IF($B270="","",IF(OR($T270&lt;=2,$I270="Editorial"),"REDO",""))</f>
        <v/>
      </c>
      <c r="V270" s="18" t="str">
        <f aca="false">IF($S270&lt;&gt;"DUE","",COUNTIF($S$3:$S270,"DUE"))</f>
        <v/>
      </c>
    </row>
    <row r="271" customFormat="false" ht="15" hidden="false" customHeight="false" outlineLevel="0" collapsed="false">
      <c r="A271" s="12" t="str">
        <f aca="false">IF($F271="","",ROW()-2)</f>
        <v/>
      </c>
      <c r="B271" s="19"/>
      <c r="C271" s="20"/>
      <c r="D271" s="21"/>
      <c r="E271" s="21"/>
      <c r="F271" s="21"/>
      <c r="G271" s="20"/>
      <c r="H271" s="21"/>
      <c r="I271" s="20"/>
      <c r="J271" s="20"/>
      <c r="K271" s="21"/>
      <c r="L271" s="21"/>
      <c r="M271" s="22" t="str">
        <f aca="false">IF($B271="","",$B271+2)</f>
        <v/>
      </c>
      <c r="N271" s="20"/>
      <c r="O271" s="22" t="str">
        <f aca="false">IF($B271="","",$B271+5)</f>
        <v/>
      </c>
      <c r="P271" s="20"/>
      <c r="Q271" s="22" t="str">
        <f aca="false">IF($B271="","",$B271+10)</f>
        <v/>
      </c>
      <c r="R271" s="20"/>
      <c r="S271" s="23" t="str">
        <f aca="true">IF($B271="","",IF(AND($N271="Y",$P271="Y",$R271="Y"),"Done",IF(OR(AND($M271&lt;=TODAY(),$N271&lt;&gt;"Y"),AND($O271&lt;=TODAY(),$P271&lt;&gt;"Y"),AND($Q271&lt;=TODAY(),$R271&lt;&gt;"Y")),"DUE","Scheduled")))</f>
        <v/>
      </c>
      <c r="T271" s="20"/>
      <c r="U271" s="23" t="str">
        <f aca="false">IF($B271="","",IF(OR($T271&lt;=2,$I271="Editorial"),"REDO",""))</f>
        <v/>
      </c>
      <c r="V271" s="18" t="str">
        <f aca="false">IF($S271&lt;&gt;"DUE","",COUNTIF($S$3:$S271,"DUE"))</f>
        <v/>
      </c>
    </row>
    <row r="272" customFormat="false" ht="15" hidden="false" customHeight="false" outlineLevel="0" collapsed="false">
      <c r="A272" s="12" t="str">
        <f aca="false">IF($F272="","",ROW()-2)</f>
        <v/>
      </c>
      <c r="B272" s="19"/>
      <c r="C272" s="20"/>
      <c r="D272" s="21"/>
      <c r="E272" s="21"/>
      <c r="F272" s="21"/>
      <c r="G272" s="20"/>
      <c r="H272" s="21"/>
      <c r="I272" s="20"/>
      <c r="J272" s="20"/>
      <c r="K272" s="21"/>
      <c r="L272" s="21"/>
      <c r="M272" s="22" t="str">
        <f aca="false">IF($B272="","",$B272+2)</f>
        <v/>
      </c>
      <c r="N272" s="20"/>
      <c r="O272" s="22" t="str">
        <f aca="false">IF($B272="","",$B272+5)</f>
        <v/>
      </c>
      <c r="P272" s="20"/>
      <c r="Q272" s="22" t="str">
        <f aca="false">IF($B272="","",$B272+10)</f>
        <v/>
      </c>
      <c r="R272" s="20"/>
      <c r="S272" s="23" t="str">
        <f aca="true">IF($B272="","",IF(AND($N272="Y",$P272="Y",$R272="Y"),"Done",IF(OR(AND($M272&lt;=TODAY(),$N272&lt;&gt;"Y"),AND($O272&lt;=TODAY(),$P272&lt;&gt;"Y"),AND($Q272&lt;=TODAY(),$R272&lt;&gt;"Y")),"DUE","Scheduled")))</f>
        <v/>
      </c>
      <c r="T272" s="20"/>
      <c r="U272" s="23" t="str">
        <f aca="false">IF($B272="","",IF(OR($T272&lt;=2,$I272="Editorial"),"REDO",""))</f>
        <v/>
      </c>
      <c r="V272" s="18" t="str">
        <f aca="false">IF($S272&lt;&gt;"DUE","",COUNTIF($S$3:$S272,"DUE"))</f>
        <v/>
      </c>
    </row>
    <row r="273" customFormat="false" ht="15" hidden="false" customHeight="false" outlineLevel="0" collapsed="false">
      <c r="A273" s="12" t="str">
        <f aca="false">IF($F273="","",ROW()-2)</f>
        <v/>
      </c>
      <c r="B273" s="19"/>
      <c r="C273" s="20"/>
      <c r="D273" s="21"/>
      <c r="E273" s="21"/>
      <c r="F273" s="21"/>
      <c r="G273" s="20"/>
      <c r="H273" s="21"/>
      <c r="I273" s="20"/>
      <c r="J273" s="20"/>
      <c r="K273" s="21"/>
      <c r="L273" s="21"/>
      <c r="M273" s="22" t="str">
        <f aca="false">IF($B273="","",$B273+2)</f>
        <v/>
      </c>
      <c r="N273" s="20"/>
      <c r="O273" s="22" t="str">
        <f aca="false">IF($B273="","",$B273+5)</f>
        <v/>
      </c>
      <c r="P273" s="20"/>
      <c r="Q273" s="22" t="str">
        <f aca="false">IF($B273="","",$B273+10)</f>
        <v/>
      </c>
      <c r="R273" s="20"/>
      <c r="S273" s="23" t="str">
        <f aca="true">IF($B273="","",IF(AND($N273="Y",$P273="Y",$R273="Y"),"Done",IF(OR(AND($M273&lt;=TODAY(),$N273&lt;&gt;"Y"),AND($O273&lt;=TODAY(),$P273&lt;&gt;"Y"),AND($Q273&lt;=TODAY(),$R273&lt;&gt;"Y")),"DUE","Scheduled")))</f>
        <v/>
      </c>
      <c r="T273" s="20"/>
      <c r="U273" s="23" t="str">
        <f aca="false">IF($B273="","",IF(OR($T273&lt;=2,$I273="Editorial"),"REDO",""))</f>
        <v/>
      </c>
      <c r="V273" s="18" t="str">
        <f aca="false">IF($S273&lt;&gt;"DUE","",COUNTIF($S$3:$S273,"DUE"))</f>
        <v/>
      </c>
    </row>
    <row r="274" customFormat="false" ht="15" hidden="false" customHeight="false" outlineLevel="0" collapsed="false">
      <c r="A274" s="12" t="str">
        <f aca="false">IF($F274="","",ROW()-2)</f>
        <v/>
      </c>
      <c r="B274" s="19"/>
      <c r="C274" s="20"/>
      <c r="D274" s="21"/>
      <c r="E274" s="21"/>
      <c r="F274" s="21"/>
      <c r="G274" s="20"/>
      <c r="H274" s="21"/>
      <c r="I274" s="20"/>
      <c r="J274" s="20"/>
      <c r="K274" s="21"/>
      <c r="L274" s="21"/>
      <c r="M274" s="22" t="str">
        <f aca="false">IF($B274="","",$B274+2)</f>
        <v/>
      </c>
      <c r="N274" s="20"/>
      <c r="O274" s="22" t="str">
        <f aca="false">IF($B274="","",$B274+5)</f>
        <v/>
      </c>
      <c r="P274" s="20"/>
      <c r="Q274" s="22" t="str">
        <f aca="false">IF($B274="","",$B274+10)</f>
        <v/>
      </c>
      <c r="R274" s="20"/>
      <c r="S274" s="23" t="str">
        <f aca="true">IF($B274="","",IF(AND($N274="Y",$P274="Y",$R274="Y"),"Done",IF(OR(AND($M274&lt;=TODAY(),$N274&lt;&gt;"Y"),AND($O274&lt;=TODAY(),$P274&lt;&gt;"Y"),AND($Q274&lt;=TODAY(),$R274&lt;&gt;"Y")),"DUE","Scheduled")))</f>
        <v/>
      </c>
      <c r="T274" s="20"/>
      <c r="U274" s="23" t="str">
        <f aca="false">IF($B274="","",IF(OR($T274&lt;=2,$I274="Editorial"),"REDO",""))</f>
        <v/>
      </c>
      <c r="V274" s="18" t="str">
        <f aca="false">IF($S274&lt;&gt;"DUE","",COUNTIF($S$3:$S274,"DUE"))</f>
        <v/>
      </c>
    </row>
    <row r="275" customFormat="false" ht="15" hidden="false" customHeight="false" outlineLevel="0" collapsed="false">
      <c r="A275" s="12" t="str">
        <f aca="false">IF($F275="","",ROW()-2)</f>
        <v/>
      </c>
      <c r="B275" s="19"/>
      <c r="C275" s="20"/>
      <c r="D275" s="21"/>
      <c r="E275" s="21"/>
      <c r="F275" s="21"/>
      <c r="G275" s="20"/>
      <c r="H275" s="21"/>
      <c r="I275" s="20"/>
      <c r="J275" s="20"/>
      <c r="K275" s="21"/>
      <c r="L275" s="21"/>
      <c r="M275" s="22" t="str">
        <f aca="false">IF($B275="","",$B275+2)</f>
        <v/>
      </c>
      <c r="N275" s="20"/>
      <c r="O275" s="22" t="str">
        <f aca="false">IF($B275="","",$B275+5)</f>
        <v/>
      </c>
      <c r="P275" s="20"/>
      <c r="Q275" s="22" t="str">
        <f aca="false">IF($B275="","",$B275+10)</f>
        <v/>
      </c>
      <c r="R275" s="20"/>
      <c r="S275" s="23" t="str">
        <f aca="true">IF($B275="","",IF(AND($N275="Y",$P275="Y",$R275="Y"),"Done",IF(OR(AND($M275&lt;=TODAY(),$N275&lt;&gt;"Y"),AND($O275&lt;=TODAY(),$P275&lt;&gt;"Y"),AND($Q275&lt;=TODAY(),$R275&lt;&gt;"Y")),"DUE","Scheduled")))</f>
        <v/>
      </c>
      <c r="T275" s="20"/>
      <c r="U275" s="23" t="str">
        <f aca="false">IF($B275="","",IF(OR($T275&lt;=2,$I275="Editorial"),"REDO",""))</f>
        <v/>
      </c>
      <c r="V275" s="18" t="str">
        <f aca="false">IF($S275&lt;&gt;"DUE","",COUNTIF($S$3:$S275,"DUE"))</f>
        <v/>
      </c>
    </row>
    <row r="276" customFormat="false" ht="15" hidden="false" customHeight="false" outlineLevel="0" collapsed="false">
      <c r="A276" s="12" t="str">
        <f aca="false">IF($F276="","",ROW()-2)</f>
        <v/>
      </c>
      <c r="B276" s="19"/>
      <c r="C276" s="20"/>
      <c r="D276" s="21"/>
      <c r="E276" s="21"/>
      <c r="F276" s="21"/>
      <c r="G276" s="20"/>
      <c r="H276" s="21"/>
      <c r="I276" s="20"/>
      <c r="J276" s="20"/>
      <c r="K276" s="21"/>
      <c r="L276" s="21"/>
      <c r="M276" s="22" t="str">
        <f aca="false">IF($B276="","",$B276+2)</f>
        <v/>
      </c>
      <c r="N276" s="20"/>
      <c r="O276" s="22" t="str">
        <f aca="false">IF($B276="","",$B276+5)</f>
        <v/>
      </c>
      <c r="P276" s="20"/>
      <c r="Q276" s="22" t="str">
        <f aca="false">IF($B276="","",$B276+10)</f>
        <v/>
      </c>
      <c r="R276" s="20"/>
      <c r="S276" s="23" t="str">
        <f aca="true">IF($B276="","",IF(AND($N276="Y",$P276="Y",$R276="Y"),"Done",IF(OR(AND($M276&lt;=TODAY(),$N276&lt;&gt;"Y"),AND($O276&lt;=TODAY(),$P276&lt;&gt;"Y"),AND($Q276&lt;=TODAY(),$R276&lt;&gt;"Y")),"DUE","Scheduled")))</f>
        <v/>
      </c>
      <c r="T276" s="20"/>
      <c r="U276" s="23" t="str">
        <f aca="false">IF($B276="","",IF(OR($T276&lt;=2,$I276="Editorial"),"REDO",""))</f>
        <v/>
      </c>
      <c r="V276" s="18" t="str">
        <f aca="false">IF($S276&lt;&gt;"DUE","",COUNTIF($S$3:$S276,"DUE"))</f>
        <v/>
      </c>
    </row>
    <row r="277" customFormat="false" ht="15" hidden="false" customHeight="false" outlineLevel="0" collapsed="false">
      <c r="A277" s="12" t="str">
        <f aca="false">IF($F277="","",ROW()-2)</f>
        <v/>
      </c>
      <c r="B277" s="19"/>
      <c r="C277" s="20"/>
      <c r="D277" s="21"/>
      <c r="E277" s="21"/>
      <c r="F277" s="21"/>
      <c r="G277" s="20"/>
      <c r="H277" s="21"/>
      <c r="I277" s="20"/>
      <c r="J277" s="20"/>
      <c r="K277" s="21"/>
      <c r="L277" s="21"/>
      <c r="M277" s="22" t="str">
        <f aca="false">IF($B277="","",$B277+2)</f>
        <v/>
      </c>
      <c r="N277" s="20"/>
      <c r="O277" s="22" t="str">
        <f aca="false">IF($B277="","",$B277+5)</f>
        <v/>
      </c>
      <c r="P277" s="20"/>
      <c r="Q277" s="22" t="str">
        <f aca="false">IF($B277="","",$B277+10)</f>
        <v/>
      </c>
      <c r="R277" s="20"/>
      <c r="S277" s="23" t="str">
        <f aca="true">IF($B277="","",IF(AND($N277="Y",$P277="Y",$R277="Y"),"Done",IF(OR(AND($M277&lt;=TODAY(),$N277&lt;&gt;"Y"),AND($O277&lt;=TODAY(),$P277&lt;&gt;"Y"),AND($Q277&lt;=TODAY(),$R277&lt;&gt;"Y")),"DUE","Scheduled")))</f>
        <v/>
      </c>
      <c r="T277" s="20"/>
      <c r="U277" s="23" t="str">
        <f aca="false">IF($B277="","",IF(OR($T277&lt;=2,$I277="Editorial"),"REDO",""))</f>
        <v/>
      </c>
      <c r="V277" s="18" t="str">
        <f aca="false">IF($S277&lt;&gt;"DUE","",COUNTIF($S$3:$S277,"DUE"))</f>
        <v/>
      </c>
    </row>
    <row r="278" customFormat="false" ht="15" hidden="false" customHeight="false" outlineLevel="0" collapsed="false">
      <c r="A278" s="12" t="str">
        <f aca="false">IF($F278="","",ROW()-2)</f>
        <v/>
      </c>
      <c r="B278" s="19"/>
      <c r="C278" s="20"/>
      <c r="D278" s="21"/>
      <c r="E278" s="21"/>
      <c r="F278" s="21"/>
      <c r="G278" s="20"/>
      <c r="H278" s="21"/>
      <c r="I278" s="20"/>
      <c r="J278" s="20"/>
      <c r="K278" s="21"/>
      <c r="L278" s="21"/>
      <c r="M278" s="22" t="str">
        <f aca="false">IF($B278="","",$B278+2)</f>
        <v/>
      </c>
      <c r="N278" s="20"/>
      <c r="O278" s="22" t="str">
        <f aca="false">IF($B278="","",$B278+5)</f>
        <v/>
      </c>
      <c r="P278" s="20"/>
      <c r="Q278" s="22" t="str">
        <f aca="false">IF($B278="","",$B278+10)</f>
        <v/>
      </c>
      <c r="R278" s="20"/>
      <c r="S278" s="23" t="str">
        <f aca="true">IF($B278="","",IF(AND($N278="Y",$P278="Y",$R278="Y"),"Done",IF(OR(AND($M278&lt;=TODAY(),$N278&lt;&gt;"Y"),AND($O278&lt;=TODAY(),$P278&lt;&gt;"Y"),AND($Q278&lt;=TODAY(),$R278&lt;&gt;"Y")),"DUE","Scheduled")))</f>
        <v/>
      </c>
      <c r="T278" s="20"/>
      <c r="U278" s="23" t="str">
        <f aca="false">IF($B278="","",IF(OR($T278&lt;=2,$I278="Editorial"),"REDO",""))</f>
        <v/>
      </c>
      <c r="V278" s="18" t="str">
        <f aca="false">IF($S278&lt;&gt;"DUE","",COUNTIF($S$3:$S278,"DUE"))</f>
        <v/>
      </c>
    </row>
    <row r="279" customFormat="false" ht="15" hidden="false" customHeight="false" outlineLevel="0" collapsed="false">
      <c r="A279" s="12" t="str">
        <f aca="false">IF($F279="","",ROW()-2)</f>
        <v/>
      </c>
      <c r="B279" s="19"/>
      <c r="C279" s="20"/>
      <c r="D279" s="21"/>
      <c r="E279" s="21"/>
      <c r="F279" s="21"/>
      <c r="G279" s="20"/>
      <c r="H279" s="21"/>
      <c r="I279" s="20"/>
      <c r="J279" s="20"/>
      <c r="K279" s="21"/>
      <c r="L279" s="21"/>
      <c r="M279" s="22" t="str">
        <f aca="false">IF($B279="","",$B279+2)</f>
        <v/>
      </c>
      <c r="N279" s="20"/>
      <c r="O279" s="22" t="str">
        <f aca="false">IF($B279="","",$B279+5)</f>
        <v/>
      </c>
      <c r="P279" s="20"/>
      <c r="Q279" s="22" t="str">
        <f aca="false">IF($B279="","",$B279+10)</f>
        <v/>
      </c>
      <c r="R279" s="20"/>
      <c r="S279" s="23" t="str">
        <f aca="true">IF($B279="","",IF(AND($N279="Y",$P279="Y",$R279="Y"),"Done",IF(OR(AND($M279&lt;=TODAY(),$N279&lt;&gt;"Y"),AND($O279&lt;=TODAY(),$P279&lt;&gt;"Y"),AND($Q279&lt;=TODAY(),$R279&lt;&gt;"Y")),"DUE","Scheduled")))</f>
        <v/>
      </c>
      <c r="T279" s="20"/>
      <c r="U279" s="23" t="str">
        <f aca="false">IF($B279="","",IF(OR($T279&lt;=2,$I279="Editorial"),"REDO",""))</f>
        <v/>
      </c>
      <c r="V279" s="18" t="str">
        <f aca="false">IF($S279&lt;&gt;"DUE","",COUNTIF($S$3:$S279,"DUE"))</f>
        <v/>
      </c>
    </row>
    <row r="280" customFormat="false" ht="15" hidden="false" customHeight="false" outlineLevel="0" collapsed="false">
      <c r="A280" s="12" t="str">
        <f aca="false">IF($F280="","",ROW()-2)</f>
        <v/>
      </c>
      <c r="B280" s="19"/>
      <c r="C280" s="20"/>
      <c r="D280" s="21"/>
      <c r="E280" s="21"/>
      <c r="F280" s="21"/>
      <c r="G280" s="20"/>
      <c r="H280" s="21"/>
      <c r="I280" s="20"/>
      <c r="J280" s="20"/>
      <c r="K280" s="21"/>
      <c r="L280" s="21"/>
      <c r="M280" s="22" t="str">
        <f aca="false">IF($B280="","",$B280+2)</f>
        <v/>
      </c>
      <c r="N280" s="20"/>
      <c r="O280" s="22" t="str">
        <f aca="false">IF($B280="","",$B280+5)</f>
        <v/>
      </c>
      <c r="P280" s="20"/>
      <c r="Q280" s="22" t="str">
        <f aca="false">IF($B280="","",$B280+10)</f>
        <v/>
      </c>
      <c r="R280" s="20"/>
      <c r="S280" s="23" t="str">
        <f aca="true">IF($B280="","",IF(AND($N280="Y",$P280="Y",$R280="Y"),"Done",IF(OR(AND($M280&lt;=TODAY(),$N280&lt;&gt;"Y"),AND($O280&lt;=TODAY(),$P280&lt;&gt;"Y"),AND($Q280&lt;=TODAY(),$R280&lt;&gt;"Y")),"DUE","Scheduled")))</f>
        <v/>
      </c>
      <c r="T280" s="20"/>
      <c r="U280" s="23" t="str">
        <f aca="false">IF($B280="","",IF(OR($T280&lt;=2,$I280="Editorial"),"REDO",""))</f>
        <v/>
      </c>
      <c r="V280" s="18" t="str">
        <f aca="false">IF($S280&lt;&gt;"DUE","",COUNTIF($S$3:$S280,"DUE"))</f>
        <v/>
      </c>
    </row>
    <row r="281" customFormat="false" ht="15" hidden="false" customHeight="false" outlineLevel="0" collapsed="false">
      <c r="A281" s="12" t="str">
        <f aca="false">IF($F281="","",ROW()-2)</f>
        <v/>
      </c>
      <c r="B281" s="19"/>
      <c r="C281" s="20"/>
      <c r="D281" s="21"/>
      <c r="E281" s="21"/>
      <c r="F281" s="21"/>
      <c r="G281" s="20"/>
      <c r="H281" s="21"/>
      <c r="I281" s="20"/>
      <c r="J281" s="20"/>
      <c r="K281" s="21"/>
      <c r="L281" s="21"/>
      <c r="M281" s="22" t="str">
        <f aca="false">IF($B281="","",$B281+2)</f>
        <v/>
      </c>
      <c r="N281" s="20"/>
      <c r="O281" s="22" t="str">
        <f aca="false">IF($B281="","",$B281+5)</f>
        <v/>
      </c>
      <c r="P281" s="20"/>
      <c r="Q281" s="22" t="str">
        <f aca="false">IF($B281="","",$B281+10)</f>
        <v/>
      </c>
      <c r="R281" s="20"/>
      <c r="S281" s="23" t="str">
        <f aca="true">IF($B281="","",IF(AND($N281="Y",$P281="Y",$R281="Y"),"Done",IF(OR(AND($M281&lt;=TODAY(),$N281&lt;&gt;"Y"),AND($O281&lt;=TODAY(),$P281&lt;&gt;"Y"),AND($Q281&lt;=TODAY(),$R281&lt;&gt;"Y")),"DUE","Scheduled")))</f>
        <v/>
      </c>
      <c r="T281" s="20"/>
      <c r="U281" s="23" t="str">
        <f aca="false">IF($B281="","",IF(OR($T281&lt;=2,$I281="Editorial"),"REDO",""))</f>
        <v/>
      </c>
      <c r="V281" s="18" t="str">
        <f aca="false">IF($S281&lt;&gt;"DUE","",COUNTIF($S$3:$S281,"DUE"))</f>
        <v/>
      </c>
    </row>
    <row r="282" customFormat="false" ht="15" hidden="false" customHeight="false" outlineLevel="0" collapsed="false">
      <c r="A282" s="12" t="str">
        <f aca="false">IF($F282="","",ROW()-2)</f>
        <v/>
      </c>
      <c r="B282" s="19"/>
      <c r="C282" s="20"/>
      <c r="D282" s="21"/>
      <c r="E282" s="21"/>
      <c r="F282" s="21"/>
      <c r="G282" s="20"/>
      <c r="H282" s="21"/>
      <c r="I282" s="20"/>
      <c r="J282" s="20"/>
      <c r="K282" s="21"/>
      <c r="L282" s="21"/>
      <c r="M282" s="22" t="str">
        <f aca="false">IF($B282="","",$B282+2)</f>
        <v/>
      </c>
      <c r="N282" s="20"/>
      <c r="O282" s="22" t="str">
        <f aca="false">IF($B282="","",$B282+5)</f>
        <v/>
      </c>
      <c r="P282" s="20"/>
      <c r="Q282" s="22" t="str">
        <f aca="false">IF($B282="","",$B282+10)</f>
        <v/>
      </c>
      <c r="R282" s="20"/>
      <c r="S282" s="23" t="str">
        <f aca="true">IF($B282="","",IF(AND($N282="Y",$P282="Y",$R282="Y"),"Done",IF(OR(AND($M282&lt;=TODAY(),$N282&lt;&gt;"Y"),AND($O282&lt;=TODAY(),$P282&lt;&gt;"Y"),AND($Q282&lt;=TODAY(),$R282&lt;&gt;"Y")),"DUE","Scheduled")))</f>
        <v/>
      </c>
      <c r="T282" s="20"/>
      <c r="U282" s="23" t="str">
        <f aca="false">IF($B282="","",IF(OR($T282&lt;=2,$I282="Editorial"),"REDO",""))</f>
        <v/>
      </c>
      <c r="V282" s="18" t="str">
        <f aca="false">IF($S282&lt;&gt;"DUE","",COUNTIF($S$3:$S282,"DUE"))</f>
        <v/>
      </c>
    </row>
    <row r="283" customFormat="false" ht="15" hidden="false" customHeight="false" outlineLevel="0" collapsed="false">
      <c r="A283" s="12" t="str">
        <f aca="false">IF($F283="","",ROW()-2)</f>
        <v/>
      </c>
      <c r="B283" s="19"/>
      <c r="C283" s="20"/>
      <c r="D283" s="21"/>
      <c r="E283" s="21"/>
      <c r="F283" s="21"/>
      <c r="G283" s="20"/>
      <c r="H283" s="21"/>
      <c r="I283" s="20"/>
      <c r="J283" s="20"/>
      <c r="K283" s="21"/>
      <c r="L283" s="21"/>
      <c r="M283" s="22" t="str">
        <f aca="false">IF($B283="","",$B283+2)</f>
        <v/>
      </c>
      <c r="N283" s="20"/>
      <c r="O283" s="22" t="str">
        <f aca="false">IF($B283="","",$B283+5)</f>
        <v/>
      </c>
      <c r="P283" s="20"/>
      <c r="Q283" s="22" t="str">
        <f aca="false">IF($B283="","",$B283+10)</f>
        <v/>
      </c>
      <c r="R283" s="20"/>
      <c r="S283" s="23" t="str">
        <f aca="true">IF($B283="","",IF(AND($N283="Y",$P283="Y",$R283="Y"),"Done",IF(OR(AND($M283&lt;=TODAY(),$N283&lt;&gt;"Y"),AND($O283&lt;=TODAY(),$P283&lt;&gt;"Y"),AND($Q283&lt;=TODAY(),$R283&lt;&gt;"Y")),"DUE","Scheduled")))</f>
        <v/>
      </c>
      <c r="T283" s="20"/>
      <c r="U283" s="23" t="str">
        <f aca="false">IF($B283="","",IF(OR($T283&lt;=2,$I283="Editorial"),"REDO",""))</f>
        <v/>
      </c>
      <c r="V283" s="18" t="str">
        <f aca="false">IF($S283&lt;&gt;"DUE","",COUNTIF($S$3:$S283,"DUE"))</f>
        <v/>
      </c>
    </row>
    <row r="284" customFormat="false" ht="15" hidden="false" customHeight="false" outlineLevel="0" collapsed="false">
      <c r="A284" s="12" t="str">
        <f aca="false">IF($F284="","",ROW()-2)</f>
        <v/>
      </c>
      <c r="B284" s="19"/>
      <c r="C284" s="20"/>
      <c r="D284" s="21"/>
      <c r="E284" s="21"/>
      <c r="F284" s="21"/>
      <c r="G284" s="20"/>
      <c r="H284" s="21"/>
      <c r="I284" s="20"/>
      <c r="J284" s="20"/>
      <c r="K284" s="21"/>
      <c r="L284" s="21"/>
      <c r="M284" s="22" t="str">
        <f aca="false">IF($B284="","",$B284+2)</f>
        <v/>
      </c>
      <c r="N284" s="20"/>
      <c r="O284" s="22" t="str">
        <f aca="false">IF($B284="","",$B284+5)</f>
        <v/>
      </c>
      <c r="P284" s="20"/>
      <c r="Q284" s="22" t="str">
        <f aca="false">IF($B284="","",$B284+10)</f>
        <v/>
      </c>
      <c r="R284" s="20"/>
      <c r="S284" s="23" t="str">
        <f aca="true">IF($B284="","",IF(AND($N284="Y",$P284="Y",$R284="Y"),"Done",IF(OR(AND($M284&lt;=TODAY(),$N284&lt;&gt;"Y"),AND($O284&lt;=TODAY(),$P284&lt;&gt;"Y"),AND($Q284&lt;=TODAY(),$R284&lt;&gt;"Y")),"DUE","Scheduled")))</f>
        <v/>
      </c>
      <c r="T284" s="20"/>
      <c r="U284" s="23" t="str">
        <f aca="false">IF($B284="","",IF(OR($T284&lt;=2,$I284="Editorial"),"REDO",""))</f>
        <v/>
      </c>
      <c r="V284" s="18" t="str">
        <f aca="false">IF($S284&lt;&gt;"DUE","",COUNTIF($S$3:$S284,"DUE"))</f>
        <v/>
      </c>
    </row>
    <row r="285" customFormat="false" ht="15" hidden="false" customHeight="false" outlineLevel="0" collapsed="false">
      <c r="A285" s="12" t="str">
        <f aca="false">IF($F285="","",ROW()-2)</f>
        <v/>
      </c>
      <c r="B285" s="19"/>
      <c r="C285" s="20"/>
      <c r="D285" s="21"/>
      <c r="E285" s="21"/>
      <c r="F285" s="21"/>
      <c r="G285" s="20"/>
      <c r="H285" s="21"/>
      <c r="I285" s="20"/>
      <c r="J285" s="20"/>
      <c r="K285" s="21"/>
      <c r="L285" s="21"/>
      <c r="M285" s="22" t="str">
        <f aca="false">IF($B285="","",$B285+2)</f>
        <v/>
      </c>
      <c r="N285" s="20"/>
      <c r="O285" s="22" t="str">
        <f aca="false">IF($B285="","",$B285+5)</f>
        <v/>
      </c>
      <c r="P285" s="20"/>
      <c r="Q285" s="22" t="str">
        <f aca="false">IF($B285="","",$B285+10)</f>
        <v/>
      </c>
      <c r="R285" s="20"/>
      <c r="S285" s="23" t="str">
        <f aca="true">IF($B285="","",IF(AND($N285="Y",$P285="Y",$R285="Y"),"Done",IF(OR(AND($M285&lt;=TODAY(),$N285&lt;&gt;"Y"),AND($O285&lt;=TODAY(),$P285&lt;&gt;"Y"),AND($Q285&lt;=TODAY(),$R285&lt;&gt;"Y")),"DUE","Scheduled")))</f>
        <v/>
      </c>
      <c r="T285" s="20"/>
      <c r="U285" s="23" t="str">
        <f aca="false">IF($B285="","",IF(OR($T285&lt;=2,$I285="Editorial"),"REDO",""))</f>
        <v/>
      </c>
      <c r="V285" s="18" t="str">
        <f aca="false">IF($S285&lt;&gt;"DUE","",COUNTIF($S$3:$S285,"DUE"))</f>
        <v/>
      </c>
    </row>
    <row r="286" customFormat="false" ht="15" hidden="false" customHeight="false" outlineLevel="0" collapsed="false">
      <c r="A286" s="12" t="str">
        <f aca="false">IF($F286="","",ROW()-2)</f>
        <v/>
      </c>
      <c r="B286" s="19"/>
      <c r="C286" s="20"/>
      <c r="D286" s="21"/>
      <c r="E286" s="21"/>
      <c r="F286" s="21"/>
      <c r="G286" s="20"/>
      <c r="H286" s="21"/>
      <c r="I286" s="20"/>
      <c r="J286" s="20"/>
      <c r="K286" s="21"/>
      <c r="L286" s="21"/>
      <c r="M286" s="22" t="str">
        <f aca="false">IF($B286="","",$B286+2)</f>
        <v/>
      </c>
      <c r="N286" s="20"/>
      <c r="O286" s="22" t="str">
        <f aca="false">IF($B286="","",$B286+5)</f>
        <v/>
      </c>
      <c r="P286" s="20"/>
      <c r="Q286" s="22" t="str">
        <f aca="false">IF($B286="","",$B286+10)</f>
        <v/>
      </c>
      <c r="R286" s="20"/>
      <c r="S286" s="23" t="str">
        <f aca="true">IF($B286="","",IF(AND($N286="Y",$P286="Y",$R286="Y"),"Done",IF(OR(AND($M286&lt;=TODAY(),$N286&lt;&gt;"Y"),AND($O286&lt;=TODAY(),$P286&lt;&gt;"Y"),AND($Q286&lt;=TODAY(),$R286&lt;&gt;"Y")),"DUE","Scheduled")))</f>
        <v/>
      </c>
      <c r="T286" s="20"/>
      <c r="U286" s="23" t="str">
        <f aca="false">IF($B286="","",IF(OR($T286&lt;=2,$I286="Editorial"),"REDO",""))</f>
        <v/>
      </c>
      <c r="V286" s="18" t="str">
        <f aca="false">IF($S286&lt;&gt;"DUE","",COUNTIF($S$3:$S286,"DUE"))</f>
        <v/>
      </c>
    </row>
    <row r="287" customFormat="false" ht="15" hidden="false" customHeight="false" outlineLevel="0" collapsed="false">
      <c r="A287" s="12" t="str">
        <f aca="false">IF($F287="","",ROW()-2)</f>
        <v/>
      </c>
      <c r="B287" s="19"/>
      <c r="C287" s="20"/>
      <c r="D287" s="21"/>
      <c r="E287" s="21"/>
      <c r="F287" s="21"/>
      <c r="G287" s="20"/>
      <c r="H287" s="21"/>
      <c r="I287" s="20"/>
      <c r="J287" s="20"/>
      <c r="K287" s="21"/>
      <c r="L287" s="21"/>
      <c r="M287" s="22" t="str">
        <f aca="false">IF($B287="","",$B287+2)</f>
        <v/>
      </c>
      <c r="N287" s="20"/>
      <c r="O287" s="22" t="str">
        <f aca="false">IF($B287="","",$B287+5)</f>
        <v/>
      </c>
      <c r="P287" s="20"/>
      <c r="Q287" s="22" t="str">
        <f aca="false">IF($B287="","",$B287+10)</f>
        <v/>
      </c>
      <c r="R287" s="20"/>
      <c r="S287" s="23" t="str">
        <f aca="true">IF($B287="","",IF(AND($N287="Y",$P287="Y",$R287="Y"),"Done",IF(OR(AND($M287&lt;=TODAY(),$N287&lt;&gt;"Y"),AND($O287&lt;=TODAY(),$P287&lt;&gt;"Y"),AND($Q287&lt;=TODAY(),$R287&lt;&gt;"Y")),"DUE","Scheduled")))</f>
        <v/>
      </c>
      <c r="T287" s="20"/>
      <c r="U287" s="23" t="str">
        <f aca="false">IF($B287="","",IF(OR($T287&lt;=2,$I287="Editorial"),"REDO",""))</f>
        <v/>
      </c>
      <c r="V287" s="18" t="str">
        <f aca="false">IF($S287&lt;&gt;"DUE","",COUNTIF($S$3:$S287,"DUE"))</f>
        <v/>
      </c>
    </row>
    <row r="288" customFormat="false" ht="15" hidden="false" customHeight="false" outlineLevel="0" collapsed="false">
      <c r="A288" s="12" t="str">
        <f aca="false">IF($F288="","",ROW()-2)</f>
        <v/>
      </c>
      <c r="B288" s="19"/>
      <c r="C288" s="20"/>
      <c r="D288" s="21"/>
      <c r="E288" s="21"/>
      <c r="F288" s="21"/>
      <c r="G288" s="20"/>
      <c r="H288" s="21"/>
      <c r="I288" s="20"/>
      <c r="J288" s="20"/>
      <c r="K288" s="21"/>
      <c r="L288" s="21"/>
      <c r="M288" s="22" t="str">
        <f aca="false">IF($B288="","",$B288+2)</f>
        <v/>
      </c>
      <c r="N288" s="20"/>
      <c r="O288" s="22" t="str">
        <f aca="false">IF($B288="","",$B288+5)</f>
        <v/>
      </c>
      <c r="P288" s="20"/>
      <c r="Q288" s="22" t="str">
        <f aca="false">IF($B288="","",$B288+10)</f>
        <v/>
      </c>
      <c r="R288" s="20"/>
      <c r="S288" s="23" t="str">
        <f aca="true">IF($B288="","",IF(AND($N288="Y",$P288="Y",$R288="Y"),"Done",IF(OR(AND($M288&lt;=TODAY(),$N288&lt;&gt;"Y"),AND($O288&lt;=TODAY(),$P288&lt;&gt;"Y"),AND($Q288&lt;=TODAY(),$R288&lt;&gt;"Y")),"DUE","Scheduled")))</f>
        <v/>
      </c>
      <c r="T288" s="20"/>
      <c r="U288" s="23" t="str">
        <f aca="false">IF($B288="","",IF(OR($T288&lt;=2,$I288="Editorial"),"REDO",""))</f>
        <v/>
      </c>
      <c r="V288" s="18" t="str">
        <f aca="false">IF($S288&lt;&gt;"DUE","",COUNTIF($S$3:$S288,"DUE"))</f>
        <v/>
      </c>
    </row>
    <row r="289" customFormat="false" ht="15" hidden="false" customHeight="false" outlineLevel="0" collapsed="false">
      <c r="A289" s="12" t="str">
        <f aca="false">IF($F289="","",ROW()-2)</f>
        <v/>
      </c>
      <c r="B289" s="19"/>
      <c r="C289" s="20"/>
      <c r="D289" s="21"/>
      <c r="E289" s="21"/>
      <c r="F289" s="21"/>
      <c r="G289" s="20"/>
      <c r="H289" s="21"/>
      <c r="I289" s="20"/>
      <c r="J289" s="20"/>
      <c r="K289" s="21"/>
      <c r="L289" s="21"/>
      <c r="M289" s="22" t="str">
        <f aca="false">IF($B289="","",$B289+2)</f>
        <v/>
      </c>
      <c r="N289" s="20"/>
      <c r="O289" s="22" t="str">
        <f aca="false">IF($B289="","",$B289+5)</f>
        <v/>
      </c>
      <c r="P289" s="20"/>
      <c r="Q289" s="22" t="str">
        <f aca="false">IF($B289="","",$B289+10)</f>
        <v/>
      </c>
      <c r="R289" s="20"/>
      <c r="S289" s="23" t="str">
        <f aca="true">IF($B289="","",IF(AND($N289="Y",$P289="Y",$R289="Y"),"Done",IF(OR(AND($M289&lt;=TODAY(),$N289&lt;&gt;"Y"),AND($O289&lt;=TODAY(),$P289&lt;&gt;"Y"),AND($Q289&lt;=TODAY(),$R289&lt;&gt;"Y")),"DUE","Scheduled")))</f>
        <v/>
      </c>
      <c r="T289" s="20"/>
      <c r="U289" s="23" t="str">
        <f aca="false">IF($B289="","",IF(OR($T289&lt;=2,$I289="Editorial"),"REDO",""))</f>
        <v/>
      </c>
      <c r="V289" s="18" t="str">
        <f aca="false">IF($S289&lt;&gt;"DUE","",COUNTIF($S$3:$S289,"DUE"))</f>
        <v/>
      </c>
    </row>
    <row r="290" customFormat="false" ht="15" hidden="false" customHeight="false" outlineLevel="0" collapsed="false">
      <c r="A290" s="12" t="str">
        <f aca="false">IF($F290="","",ROW()-2)</f>
        <v/>
      </c>
      <c r="B290" s="19"/>
      <c r="C290" s="20"/>
      <c r="D290" s="21"/>
      <c r="E290" s="21"/>
      <c r="F290" s="21"/>
      <c r="G290" s="20"/>
      <c r="H290" s="21"/>
      <c r="I290" s="20"/>
      <c r="J290" s="20"/>
      <c r="K290" s="21"/>
      <c r="L290" s="21"/>
      <c r="M290" s="22" t="str">
        <f aca="false">IF($B290="","",$B290+2)</f>
        <v/>
      </c>
      <c r="N290" s="20"/>
      <c r="O290" s="22" t="str">
        <f aca="false">IF($B290="","",$B290+5)</f>
        <v/>
      </c>
      <c r="P290" s="20"/>
      <c r="Q290" s="22" t="str">
        <f aca="false">IF($B290="","",$B290+10)</f>
        <v/>
      </c>
      <c r="R290" s="20"/>
      <c r="S290" s="23" t="str">
        <f aca="true">IF($B290="","",IF(AND($N290="Y",$P290="Y",$R290="Y"),"Done",IF(OR(AND($M290&lt;=TODAY(),$N290&lt;&gt;"Y"),AND($O290&lt;=TODAY(),$P290&lt;&gt;"Y"),AND($Q290&lt;=TODAY(),$R290&lt;&gt;"Y")),"DUE","Scheduled")))</f>
        <v/>
      </c>
      <c r="T290" s="20"/>
      <c r="U290" s="23" t="str">
        <f aca="false">IF($B290="","",IF(OR($T290&lt;=2,$I290="Editorial"),"REDO",""))</f>
        <v/>
      </c>
      <c r="V290" s="18" t="str">
        <f aca="false">IF($S290&lt;&gt;"DUE","",COUNTIF($S$3:$S290,"DUE"))</f>
        <v/>
      </c>
    </row>
    <row r="291" customFormat="false" ht="15" hidden="false" customHeight="false" outlineLevel="0" collapsed="false">
      <c r="A291" s="12" t="str">
        <f aca="false">IF($F291="","",ROW()-2)</f>
        <v/>
      </c>
      <c r="B291" s="19"/>
      <c r="C291" s="20"/>
      <c r="D291" s="21"/>
      <c r="E291" s="21"/>
      <c r="F291" s="21"/>
      <c r="G291" s="20"/>
      <c r="H291" s="21"/>
      <c r="I291" s="20"/>
      <c r="J291" s="20"/>
      <c r="K291" s="21"/>
      <c r="L291" s="21"/>
      <c r="M291" s="22" t="str">
        <f aca="false">IF($B291="","",$B291+2)</f>
        <v/>
      </c>
      <c r="N291" s="20"/>
      <c r="O291" s="22" t="str">
        <f aca="false">IF($B291="","",$B291+5)</f>
        <v/>
      </c>
      <c r="P291" s="20"/>
      <c r="Q291" s="22" t="str">
        <f aca="false">IF($B291="","",$B291+10)</f>
        <v/>
      </c>
      <c r="R291" s="20"/>
      <c r="S291" s="23" t="str">
        <f aca="true">IF($B291="","",IF(AND($N291="Y",$P291="Y",$R291="Y"),"Done",IF(OR(AND($M291&lt;=TODAY(),$N291&lt;&gt;"Y"),AND($O291&lt;=TODAY(),$P291&lt;&gt;"Y"),AND($Q291&lt;=TODAY(),$R291&lt;&gt;"Y")),"DUE","Scheduled")))</f>
        <v/>
      </c>
      <c r="T291" s="20"/>
      <c r="U291" s="23" t="str">
        <f aca="false">IF($B291="","",IF(OR($T291&lt;=2,$I291="Editorial"),"REDO",""))</f>
        <v/>
      </c>
      <c r="V291" s="18" t="str">
        <f aca="false">IF($S291&lt;&gt;"DUE","",COUNTIF($S$3:$S291,"DUE"))</f>
        <v/>
      </c>
    </row>
    <row r="292" customFormat="false" ht="15" hidden="false" customHeight="false" outlineLevel="0" collapsed="false">
      <c r="A292" s="12" t="str">
        <f aca="false">IF($F292="","",ROW()-2)</f>
        <v/>
      </c>
      <c r="B292" s="19"/>
      <c r="C292" s="20"/>
      <c r="D292" s="21"/>
      <c r="E292" s="21"/>
      <c r="F292" s="21"/>
      <c r="G292" s="20"/>
      <c r="H292" s="21"/>
      <c r="I292" s="20"/>
      <c r="J292" s="20"/>
      <c r="K292" s="21"/>
      <c r="L292" s="21"/>
      <c r="M292" s="22" t="str">
        <f aca="false">IF($B292="","",$B292+2)</f>
        <v/>
      </c>
      <c r="N292" s="20"/>
      <c r="O292" s="22" t="str">
        <f aca="false">IF($B292="","",$B292+5)</f>
        <v/>
      </c>
      <c r="P292" s="20"/>
      <c r="Q292" s="22" t="str">
        <f aca="false">IF($B292="","",$B292+10)</f>
        <v/>
      </c>
      <c r="R292" s="20"/>
      <c r="S292" s="23" t="str">
        <f aca="true">IF($B292="","",IF(AND($N292="Y",$P292="Y",$R292="Y"),"Done",IF(OR(AND($M292&lt;=TODAY(),$N292&lt;&gt;"Y"),AND($O292&lt;=TODAY(),$P292&lt;&gt;"Y"),AND($Q292&lt;=TODAY(),$R292&lt;&gt;"Y")),"DUE","Scheduled")))</f>
        <v/>
      </c>
      <c r="T292" s="20"/>
      <c r="U292" s="23" t="str">
        <f aca="false">IF($B292="","",IF(OR($T292&lt;=2,$I292="Editorial"),"REDO",""))</f>
        <v/>
      </c>
      <c r="V292" s="18" t="str">
        <f aca="false">IF($S292&lt;&gt;"DUE","",COUNTIF($S$3:$S292,"DUE"))</f>
        <v/>
      </c>
    </row>
    <row r="293" customFormat="false" ht="15" hidden="false" customHeight="false" outlineLevel="0" collapsed="false">
      <c r="A293" s="12" t="str">
        <f aca="false">IF($F293="","",ROW()-2)</f>
        <v/>
      </c>
      <c r="B293" s="19"/>
      <c r="C293" s="20"/>
      <c r="D293" s="21"/>
      <c r="E293" s="21"/>
      <c r="F293" s="21"/>
      <c r="G293" s="20"/>
      <c r="H293" s="21"/>
      <c r="I293" s="20"/>
      <c r="J293" s="20"/>
      <c r="K293" s="21"/>
      <c r="L293" s="21"/>
      <c r="M293" s="22" t="str">
        <f aca="false">IF($B293="","",$B293+2)</f>
        <v/>
      </c>
      <c r="N293" s="20"/>
      <c r="O293" s="22" t="str">
        <f aca="false">IF($B293="","",$B293+5)</f>
        <v/>
      </c>
      <c r="P293" s="20"/>
      <c r="Q293" s="22" t="str">
        <f aca="false">IF($B293="","",$B293+10)</f>
        <v/>
      </c>
      <c r="R293" s="20"/>
      <c r="S293" s="23" t="str">
        <f aca="true">IF($B293="","",IF(AND($N293="Y",$P293="Y",$R293="Y"),"Done",IF(OR(AND($M293&lt;=TODAY(),$N293&lt;&gt;"Y"),AND($O293&lt;=TODAY(),$P293&lt;&gt;"Y"),AND($Q293&lt;=TODAY(),$R293&lt;&gt;"Y")),"DUE","Scheduled")))</f>
        <v/>
      </c>
      <c r="T293" s="20"/>
      <c r="U293" s="23" t="str">
        <f aca="false">IF($B293="","",IF(OR($T293&lt;=2,$I293="Editorial"),"REDO",""))</f>
        <v/>
      </c>
      <c r="V293" s="18" t="str">
        <f aca="false">IF($S293&lt;&gt;"DUE","",COUNTIF($S$3:$S293,"DUE"))</f>
        <v/>
      </c>
    </row>
    <row r="294" customFormat="false" ht="15" hidden="false" customHeight="false" outlineLevel="0" collapsed="false">
      <c r="A294" s="12" t="str">
        <f aca="false">IF($F294="","",ROW()-2)</f>
        <v/>
      </c>
      <c r="B294" s="19"/>
      <c r="C294" s="20"/>
      <c r="D294" s="21"/>
      <c r="E294" s="21"/>
      <c r="F294" s="21"/>
      <c r="G294" s="20"/>
      <c r="H294" s="21"/>
      <c r="I294" s="20"/>
      <c r="J294" s="20"/>
      <c r="K294" s="21"/>
      <c r="L294" s="21"/>
      <c r="M294" s="22" t="str">
        <f aca="false">IF($B294="","",$B294+2)</f>
        <v/>
      </c>
      <c r="N294" s="20"/>
      <c r="O294" s="22" t="str">
        <f aca="false">IF($B294="","",$B294+5)</f>
        <v/>
      </c>
      <c r="P294" s="20"/>
      <c r="Q294" s="22" t="str">
        <f aca="false">IF($B294="","",$B294+10)</f>
        <v/>
      </c>
      <c r="R294" s="20"/>
      <c r="S294" s="23" t="str">
        <f aca="true">IF($B294="","",IF(AND($N294="Y",$P294="Y",$R294="Y"),"Done",IF(OR(AND($M294&lt;=TODAY(),$N294&lt;&gt;"Y"),AND($O294&lt;=TODAY(),$P294&lt;&gt;"Y"),AND($Q294&lt;=TODAY(),$R294&lt;&gt;"Y")),"DUE","Scheduled")))</f>
        <v/>
      </c>
      <c r="T294" s="20"/>
      <c r="U294" s="23" t="str">
        <f aca="false">IF($B294="","",IF(OR($T294&lt;=2,$I294="Editorial"),"REDO",""))</f>
        <v/>
      </c>
      <c r="V294" s="18" t="str">
        <f aca="false">IF($S294&lt;&gt;"DUE","",COUNTIF($S$3:$S294,"DUE"))</f>
        <v/>
      </c>
    </row>
    <row r="295" customFormat="false" ht="15" hidden="false" customHeight="false" outlineLevel="0" collapsed="false">
      <c r="A295" s="12" t="str">
        <f aca="false">IF($F295="","",ROW()-2)</f>
        <v/>
      </c>
      <c r="B295" s="19"/>
      <c r="C295" s="20"/>
      <c r="D295" s="21"/>
      <c r="E295" s="21"/>
      <c r="F295" s="21"/>
      <c r="G295" s="20"/>
      <c r="H295" s="21"/>
      <c r="I295" s="20"/>
      <c r="J295" s="20"/>
      <c r="K295" s="21"/>
      <c r="L295" s="21"/>
      <c r="M295" s="22" t="str">
        <f aca="false">IF($B295="","",$B295+2)</f>
        <v/>
      </c>
      <c r="N295" s="20"/>
      <c r="O295" s="22" t="str">
        <f aca="false">IF($B295="","",$B295+5)</f>
        <v/>
      </c>
      <c r="P295" s="20"/>
      <c r="Q295" s="22" t="str">
        <f aca="false">IF($B295="","",$B295+10)</f>
        <v/>
      </c>
      <c r="R295" s="20"/>
      <c r="S295" s="23" t="str">
        <f aca="true">IF($B295="","",IF(AND($N295="Y",$P295="Y",$R295="Y"),"Done",IF(OR(AND($M295&lt;=TODAY(),$N295&lt;&gt;"Y"),AND($O295&lt;=TODAY(),$P295&lt;&gt;"Y"),AND($Q295&lt;=TODAY(),$R295&lt;&gt;"Y")),"DUE","Scheduled")))</f>
        <v/>
      </c>
      <c r="T295" s="20"/>
      <c r="U295" s="23" t="str">
        <f aca="false">IF($B295="","",IF(OR($T295&lt;=2,$I295="Editorial"),"REDO",""))</f>
        <v/>
      </c>
      <c r="V295" s="18" t="str">
        <f aca="false">IF($S295&lt;&gt;"DUE","",COUNTIF($S$3:$S295,"DUE"))</f>
        <v/>
      </c>
    </row>
    <row r="296" customFormat="false" ht="15" hidden="false" customHeight="false" outlineLevel="0" collapsed="false">
      <c r="A296" s="12" t="str">
        <f aca="false">IF($F296="","",ROW()-2)</f>
        <v/>
      </c>
      <c r="B296" s="19"/>
      <c r="C296" s="20"/>
      <c r="D296" s="21"/>
      <c r="E296" s="21"/>
      <c r="F296" s="21"/>
      <c r="G296" s="20"/>
      <c r="H296" s="21"/>
      <c r="I296" s="20"/>
      <c r="J296" s="20"/>
      <c r="K296" s="21"/>
      <c r="L296" s="21"/>
      <c r="M296" s="22" t="str">
        <f aca="false">IF($B296="","",$B296+2)</f>
        <v/>
      </c>
      <c r="N296" s="20"/>
      <c r="O296" s="22" t="str">
        <f aca="false">IF($B296="","",$B296+5)</f>
        <v/>
      </c>
      <c r="P296" s="20"/>
      <c r="Q296" s="22" t="str">
        <f aca="false">IF($B296="","",$B296+10)</f>
        <v/>
      </c>
      <c r="R296" s="20"/>
      <c r="S296" s="23" t="str">
        <f aca="true">IF($B296="","",IF(AND($N296="Y",$P296="Y",$R296="Y"),"Done",IF(OR(AND($M296&lt;=TODAY(),$N296&lt;&gt;"Y"),AND($O296&lt;=TODAY(),$P296&lt;&gt;"Y"),AND($Q296&lt;=TODAY(),$R296&lt;&gt;"Y")),"DUE","Scheduled")))</f>
        <v/>
      </c>
      <c r="T296" s="20"/>
      <c r="U296" s="23" t="str">
        <f aca="false">IF($B296="","",IF(OR($T296&lt;=2,$I296="Editorial"),"REDO",""))</f>
        <v/>
      </c>
      <c r="V296" s="18" t="str">
        <f aca="false">IF($S296&lt;&gt;"DUE","",COUNTIF($S$3:$S296,"DUE"))</f>
        <v/>
      </c>
    </row>
    <row r="297" customFormat="false" ht="15" hidden="false" customHeight="false" outlineLevel="0" collapsed="false">
      <c r="A297" s="12" t="str">
        <f aca="false">IF($F297="","",ROW()-2)</f>
        <v/>
      </c>
      <c r="B297" s="19"/>
      <c r="C297" s="20"/>
      <c r="D297" s="21"/>
      <c r="E297" s="21"/>
      <c r="F297" s="21"/>
      <c r="G297" s="20"/>
      <c r="H297" s="21"/>
      <c r="I297" s="20"/>
      <c r="J297" s="20"/>
      <c r="K297" s="21"/>
      <c r="L297" s="21"/>
      <c r="M297" s="22" t="str">
        <f aca="false">IF($B297="","",$B297+2)</f>
        <v/>
      </c>
      <c r="N297" s="20"/>
      <c r="O297" s="22" t="str">
        <f aca="false">IF($B297="","",$B297+5)</f>
        <v/>
      </c>
      <c r="P297" s="20"/>
      <c r="Q297" s="22" t="str">
        <f aca="false">IF($B297="","",$B297+10)</f>
        <v/>
      </c>
      <c r="R297" s="20"/>
      <c r="S297" s="23" t="str">
        <f aca="true">IF($B297="","",IF(AND($N297="Y",$P297="Y",$R297="Y"),"Done",IF(OR(AND($M297&lt;=TODAY(),$N297&lt;&gt;"Y"),AND($O297&lt;=TODAY(),$P297&lt;&gt;"Y"),AND($Q297&lt;=TODAY(),$R297&lt;&gt;"Y")),"DUE","Scheduled")))</f>
        <v/>
      </c>
      <c r="T297" s="20"/>
      <c r="U297" s="23" t="str">
        <f aca="false">IF($B297="","",IF(OR($T297&lt;=2,$I297="Editorial"),"REDO",""))</f>
        <v/>
      </c>
      <c r="V297" s="18" t="str">
        <f aca="false">IF($S297&lt;&gt;"DUE","",COUNTIF($S$3:$S297,"DUE"))</f>
        <v/>
      </c>
    </row>
    <row r="298" customFormat="false" ht="15" hidden="false" customHeight="false" outlineLevel="0" collapsed="false">
      <c r="A298" s="12" t="str">
        <f aca="false">IF($F298="","",ROW()-2)</f>
        <v/>
      </c>
      <c r="B298" s="19"/>
      <c r="C298" s="20"/>
      <c r="D298" s="21"/>
      <c r="E298" s="21"/>
      <c r="F298" s="21"/>
      <c r="G298" s="20"/>
      <c r="H298" s="21"/>
      <c r="I298" s="20"/>
      <c r="J298" s="20"/>
      <c r="K298" s="21"/>
      <c r="L298" s="21"/>
      <c r="M298" s="22" t="str">
        <f aca="false">IF($B298="","",$B298+2)</f>
        <v/>
      </c>
      <c r="N298" s="20"/>
      <c r="O298" s="22" t="str">
        <f aca="false">IF($B298="","",$B298+5)</f>
        <v/>
      </c>
      <c r="P298" s="20"/>
      <c r="Q298" s="22" t="str">
        <f aca="false">IF($B298="","",$B298+10)</f>
        <v/>
      </c>
      <c r="R298" s="20"/>
      <c r="S298" s="23" t="str">
        <f aca="true">IF($B298="","",IF(AND($N298="Y",$P298="Y",$R298="Y"),"Done",IF(OR(AND($M298&lt;=TODAY(),$N298&lt;&gt;"Y"),AND($O298&lt;=TODAY(),$P298&lt;&gt;"Y"),AND($Q298&lt;=TODAY(),$R298&lt;&gt;"Y")),"DUE","Scheduled")))</f>
        <v/>
      </c>
      <c r="T298" s="20"/>
      <c r="U298" s="23" t="str">
        <f aca="false">IF($B298="","",IF(OR($T298&lt;=2,$I298="Editorial"),"REDO",""))</f>
        <v/>
      </c>
      <c r="V298" s="18" t="str">
        <f aca="false">IF($S298&lt;&gt;"DUE","",COUNTIF($S$3:$S298,"DUE"))</f>
        <v/>
      </c>
    </row>
    <row r="299" customFormat="false" ht="15" hidden="false" customHeight="false" outlineLevel="0" collapsed="false">
      <c r="A299" s="12" t="str">
        <f aca="false">IF($F299="","",ROW()-2)</f>
        <v/>
      </c>
      <c r="B299" s="19"/>
      <c r="C299" s="20"/>
      <c r="D299" s="21"/>
      <c r="E299" s="21"/>
      <c r="F299" s="21"/>
      <c r="G299" s="20"/>
      <c r="H299" s="21"/>
      <c r="I299" s="20"/>
      <c r="J299" s="20"/>
      <c r="K299" s="21"/>
      <c r="L299" s="21"/>
      <c r="M299" s="22" t="str">
        <f aca="false">IF($B299="","",$B299+2)</f>
        <v/>
      </c>
      <c r="N299" s="20"/>
      <c r="O299" s="22" t="str">
        <f aca="false">IF($B299="","",$B299+5)</f>
        <v/>
      </c>
      <c r="P299" s="20"/>
      <c r="Q299" s="22" t="str">
        <f aca="false">IF($B299="","",$B299+10)</f>
        <v/>
      </c>
      <c r="R299" s="20"/>
      <c r="S299" s="23" t="str">
        <f aca="true">IF($B299="","",IF(AND($N299="Y",$P299="Y",$R299="Y"),"Done",IF(OR(AND($M299&lt;=TODAY(),$N299&lt;&gt;"Y"),AND($O299&lt;=TODAY(),$P299&lt;&gt;"Y"),AND($Q299&lt;=TODAY(),$R299&lt;&gt;"Y")),"DUE","Scheduled")))</f>
        <v/>
      </c>
      <c r="T299" s="20"/>
      <c r="U299" s="23" t="str">
        <f aca="false">IF($B299="","",IF(OR($T299&lt;=2,$I299="Editorial"),"REDO",""))</f>
        <v/>
      </c>
      <c r="V299" s="18" t="str">
        <f aca="false">IF($S299&lt;&gt;"DUE","",COUNTIF($S$3:$S299,"DUE"))</f>
        <v/>
      </c>
    </row>
    <row r="300" customFormat="false" ht="15" hidden="false" customHeight="false" outlineLevel="0" collapsed="false">
      <c r="A300" s="12" t="str">
        <f aca="false">IF($F300="","",ROW()-2)</f>
        <v/>
      </c>
      <c r="B300" s="19"/>
      <c r="C300" s="20"/>
      <c r="D300" s="21"/>
      <c r="E300" s="21"/>
      <c r="F300" s="21"/>
      <c r="G300" s="20"/>
      <c r="H300" s="21"/>
      <c r="I300" s="20"/>
      <c r="J300" s="20"/>
      <c r="K300" s="21"/>
      <c r="L300" s="21"/>
      <c r="M300" s="22" t="str">
        <f aca="false">IF($B300="","",$B300+2)</f>
        <v/>
      </c>
      <c r="N300" s="20"/>
      <c r="O300" s="22" t="str">
        <f aca="false">IF($B300="","",$B300+5)</f>
        <v/>
      </c>
      <c r="P300" s="20"/>
      <c r="Q300" s="22" t="str">
        <f aca="false">IF($B300="","",$B300+10)</f>
        <v/>
      </c>
      <c r="R300" s="20"/>
      <c r="S300" s="23" t="str">
        <f aca="true">IF($B300="","",IF(AND($N300="Y",$P300="Y",$R300="Y"),"Done",IF(OR(AND($M300&lt;=TODAY(),$N300&lt;&gt;"Y"),AND($O300&lt;=TODAY(),$P300&lt;&gt;"Y"),AND($Q300&lt;=TODAY(),$R300&lt;&gt;"Y")),"DUE","Scheduled")))</f>
        <v/>
      </c>
      <c r="T300" s="20"/>
      <c r="U300" s="23" t="str">
        <f aca="false">IF($B300="","",IF(OR($T300&lt;=2,$I300="Editorial"),"REDO",""))</f>
        <v/>
      </c>
      <c r="V300" s="18" t="str">
        <f aca="false">IF($S300&lt;&gt;"DUE","",COUNTIF($S$3:$S300,"DUE"))</f>
        <v/>
      </c>
    </row>
    <row r="301" customFormat="false" ht="15" hidden="false" customHeight="false" outlineLevel="0" collapsed="false">
      <c r="A301" s="12" t="str">
        <f aca="false">IF($F301="","",ROW()-2)</f>
        <v/>
      </c>
      <c r="B301" s="19"/>
      <c r="C301" s="20"/>
      <c r="D301" s="21"/>
      <c r="E301" s="21"/>
      <c r="F301" s="21"/>
      <c r="G301" s="20"/>
      <c r="H301" s="21"/>
      <c r="I301" s="20"/>
      <c r="J301" s="20"/>
      <c r="K301" s="21"/>
      <c r="L301" s="21"/>
      <c r="M301" s="22" t="str">
        <f aca="false">IF($B301="","",$B301+2)</f>
        <v/>
      </c>
      <c r="N301" s="20"/>
      <c r="O301" s="22" t="str">
        <f aca="false">IF($B301="","",$B301+5)</f>
        <v/>
      </c>
      <c r="P301" s="20"/>
      <c r="Q301" s="22" t="str">
        <f aca="false">IF($B301="","",$B301+10)</f>
        <v/>
      </c>
      <c r="R301" s="20"/>
      <c r="S301" s="23" t="str">
        <f aca="true">IF($B301="","",IF(AND($N301="Y",$P301="Y",$R301="Y"),"Done",IF(OR(AND($M301&lt;=TODAY(),$N301&lt;&gt;"Y"),AND($O301&lt;=TODAY(),$P301&lt;&gt;"Y"),AND($Q301&lt;=TODAY(),$R301&lt;&gt;"Y")),"DUE","Scheduled")))</f>
        <v/>
      </c>
      <c r="T301" s="20"/>
      <c r="U301" s="23" t="str">
        <f aca="false">IF($B301="","",IF(OR($T301&lt;=2,$I301="Editorial"),"REDO",""))</f>
        <v/>
      </c>
      <c r="V301" s="18" t="str">
        <f aca="false">IF($S301&lt;&gt;"DUE","",COUNTIF($S$3:$S301,"DUE"))</f>
        <v/>
      </c>
    </row>
    <row r="302" customFormat="false" ht="15" hidden="false" customHeight="false" outlineLevel="0" collapsed="false">
      <c r="A302" s="12" t="str">
        <f aca="false">IF($F302="","",ROW()-2)</f>
        <v/>
      </c>
      <c r="B302" s="19"/>
      <c r="C302" s="20"/>
      <c r="D302" s="21"/>
      <c r="E302" s="21"/>
      <c r="F302" s="21"/>
      <c r="G302" s="20"/>
      <c r="H302" s="21"/>
      <c r="I302" s="20"/>
      <c r="J302" s="20"/>
      <c r="K302" s="21"/>
      <c r="L302" s="21"/>
      <c r="M302" s="22" t="str">
        <f aca="false">IF($B302="","",$B302+2)</f>
        <v/>
      </c>
      <c r="N302" s="20"/>
      <c r="O302" s="22" t="str">
        <f aca="false">IF($B302="","",$B302+5)</f>
        <v/>
      </c>
      <c r="P302" s="20"/>
      <c r="Q302" s="22" t="str">
        <f aca="false">IF($B302="","",$B302+10)</f>
        <v/>
      </c>
      <c r="R302" s="20"/>
      <c r="S302" s="23" t="str">
        <f aca="true">IF($B302="","",IF(AND($N302="Y",$P302="Y",$R302="Y"),"Done",IF(OR(AND($M302&lt;=TODAY(),$N302&lt;&gt;"Y"),AND($O302&lt;=TODAY(),$P302&lt;&gt;"Y"),AND($Q302&lt;=TODAY(),$R302&lt;&gt;"Y")),"DUE","Scheduled")))</f>
        <v/>
      </c>
      <c r="T302" s="20"/>
      <c r="U302" s="23" t="str">
        <f aca="false">IF($B302="","",IF(OR($T302&lt;=2,$I302="Editorial"),"REDO",""))</f>
        <v/>
      </c>
      <c r="V302" s="18" t="str">
        <f aca="false">IF($S302&lt;&gt;"DUE","",COUNTIF($S$3:$S302,"DUE"))</f>
        <v/>
      </c>
    </row>
    <row r="303" customFormat="false" ht="15" hidden="false" customHeight="false" outlineLevel="0" collapsed="false">
      <c r="A303" s="12" t="str">
        <f aca="false">IF($F303="","",ROW()-2)</f>
        <v/>
      </c>
      <c r="B303" s="19"/>
      <c r="C303" s="20"/>
      <c r="D303" s="21"/>
      <c r="E303" s="21"/>
      <c r="F303" s="21"/>
      <c r="G303" s="20"/>
      <c r="H303" s="21"/>
      <c r="I303" s="20"/>
      <c r="J303" s="20"/>
      <c r="K303" s="21"/>
      <c r="L303" s="21"/>
      <c r="M303" s="22" t="str">
        <f aca="false">IF($B303="","",$B303+2)</f>
        <v/>
      </c>
      <c r="N303" s="20"/>
      <c r="O303" s="22" t="str">
        <f aca="false">IF($B303="","",$B303+5)</f>
        <v/>
      </c>
      <c r="P303" s="20"/>
      <c r="Q303" s="22" t="str">
        <f aca="false">IF($B303="","",$B303+10)</f>
        <v/>
      </c>
      <c r="R303" s="20"/>
      <c r="S303" s="23" t="str">
        <f aca="true">IF($B303="","",IF(AND($N303="Y",$P303="Y",$R303="Y"),"Done",IF(OR(AND($M303&lt;=TODAY(),$N303&lt;&gt;"Y"),AND($O303&lt;=TODAY(),$P303&lt;&gt;"Y"),AND($Q303&lt;=TODAY(),$R303&lt;&gt;"Y")),"DUE","Scheduled")))</f>
        <v/>
      </c>
      <c r="T303" s="20"/>
      <c r="U303" s="23" t="str">
        <f aca="false">IF($B303="","",IF(OR($T303&lt;=2,$I303="Editorial"),"REDO",""))</f>
        <v/>
      </c>
      <c r="V303" s="18" t="str">
        <f aca="false">IF($S303&lt;&gt;"DUE","",COUNTIF($S$3:$S303,"DUE"))</f>
        <v/>
      </c>
    </row>
    <row r="304" customFormat="false" ht="15" hidden="false" customHeight="false" outlineLevel="0" collapsed="false">
      <c r="A304" s="12" t="str">
        <f aca="false">IF($F304="","",ROW()-2)</f>
        <v/>
      </c>
      <c r="B304" s="19"/>
      <c r="C304" s="20"/>
      <c r="D304" s="21"/>
      <c r="E304" s="21"/>
      <c r="F304" s="21"/>
      <c r="G304" s="20"/>
      <c r="H304" s="21"/>
      <c r="I304" s="20"/>
      <c r="J304" s="20"/>
      <c r="K304" s="21"/>
      <c r="L304" s="21"/>
      <c r="M304" s="22" t="str">
        <f aca="false">IF($B304="","",$B304+2)</f>
        <v/>
      </c>
      <c r="N304" s="20"/>
      <c r="O304" s="22" t="str">
        <f aca="false">IF($B304="","",$B304+5)</f>
        <v/>
      </c>
      <c r="P304" s="20"/>
      <c r="Q304" s="22" t="str">
        <f aca="false">IF($B304="","",$B304+10)</f>
        <v/>
      </c>
      <c r="R304" s="20"/>
      <c r="S304" s="23" t="str">
        <f aca="true">IF($B304="","",IF(AND($N304="Y",$P304="Y",$R304="Y"),"Done",IF(OR(AND($M304&lt;=TODAY(),$N304&lt;&gt;"Y"),AND($O304&lt;=TODAY(),$P304&lt;&gt;"Y"),AND($Q304&lt;=TODAY(),$R304&lt;&gt;"Y")),"DUE","Scheduled")))</f>
        <v/>
      </c>
      <c r="T304" s="20"/>
      <c r="U304" s="23" t="str">
        <f aca="false">IF($B304="","",IF(OR($T304&lt;=2,$I304="Editorial"),"REDO",""))</f>
        <v/>
      </c>
      <c r="V304" s="18" t="str">
        <f aca="false">IF($S304&lt;&gt;"DUE","",COUNTIF($S$3:$S304,"DUE"))</f>
        <v/>
      </c>
    </row>
    <row r="305" customFormat="false" ht="15" hidden="false" customHeight="false" outlineLevel="0" collapsed="false">
      <c r="A305" s="12" t="str">
        <f aca="false">IF($F305="","",ROW()-2)</f>
        <v/>
      </c>
      <c r="B305" s="19"/>
      <c r="C305" s="20"/>
      <c r="D305" s="21"/>
      <c r="E305" s="21"/>
      <c r="F305" s="21"/>
      <c r="G305" s="20"/>
      <c r="H305" s="21"/>
      <c r="I305" s="20"/>
      <c r="J305" s="20"/>
      <c r="K305" s="21"/>
      <c r="L305" s="21"/>
      <c r="M305" s="22" t="str">
        <f aca="false">IF($B305="","",$B305+2)</f>
        <v/>
      </c>
      <c r="N305" s="20"/>
      <c r="O305" s="22" t="str">
        <f aca="false">IF($B305="","",$B305+5)</f>
        <v/>
      </c>
      <c r="P305" s="20"/>
      <c r="Q305" s="22" t="str">
        <f aca="false">IF($B305="","",$B305+10)</f>
        <v/>
      </c>
      <c r="R305" s="20"/>
      <c r="S305" s="23" t="str">
        <f aca="true">IF($B305="","",IF(AND($N305="Y",$P305="Y",$R305="Y"),"Done",IF(OR(AND($M305&lt;=TODAY(),$N305&lt;&gt;"Y"),AND($O305&lt;=TODAY(),$P305&lt;&gt;"Y"),AND($Q305&lt;=TODAY(),$R305&lt;&gt;"Y")),"DUE","Scheduled")))</f>
        <v/>
      </c>
      <c r="T305" s="20"/>
      <c r="U305" s="23" t="str">
        <f aca="false">IF($B305="","",IF(OR($T305&lt;=2,$I305="Editorial"),"REDO",""))</f>
        <v/>
      </c>
      <c r="V305" s="18" t="str">
        <f aca="false">IF($S305&lt;&gt;"DUE","",COUNTIF($S$3:$S305,"DUE"))</f>
        <v/>
      </c>
    </row>
    <row r="306" customFormat="false" ht="15" hidden="false" customHeight="false" outlineLevel="0" collapsed="false">
      <c r="A306" s="12" t="str">
        <f aca="false">IF($F306="","",ROW()-2)</f>
        <v/>
      </c>
      <c r="B306" s="19"/>
      <c r="C306" s="20"/>
      <c r="D306" s="21"/>
      <c r="E306" s="21"/>
      <c r="F306" s="21"/>
      <c r="G306" s="20"/>
      <c r="H306" s="21"/>
      <c r="I306" s="20"/>
      <c r="J306" s="20"/>
      <c r="K306" s="21"/>
      <c r="L306" s="21"/>
      <c r="M306" s="22" t="str">
        <f aca="false">IF($B306="","",$B306+2)</f>
        <v/>
      </c>
      <c r="N306" s="20"/>
      <c r="O306" s="22" t="str">
        <f aca="false">IF($B306="","",$B306+5)</f>
        <v/>
      </c>
      <c r="P306" s="20"/>
      <c r="Q306" s="22" t="str">
        <f aca="false">IF($B306="","",$B306+10)</f>
        <v/>
      </c>
      <c r="R306" s="20"/>
      <c r="S306" s="23" t="str">
        <f aca="true">IF($B306="","",IF(AND($N306="Y",$P306="Y",$R306="Y"),"Done",IF(OR(AND($M306&lt;=TODAY(),$N306&lt;&gt;"Y"),AND($O306&lt;=TODAY(),$P306&lt;&gt;"Y"),AND($Q306&lt;=TODAY(),$R306&lt;&gt;"Y")),"DUE","Scheduled")))</f>
        <v/>
      </c>
      <c r="T306" s="20"/>
      <c r="U306" s="23" t="str">
        <f aca="false">IF($B306="","",IF(OR($T306&lt;=2,$I306="Editorial"),"REDO",""))</f>
        <v/>
      </c>
      <c r="V306" s="18" t="str">
        <f aca="false">IF($S306&lt;&gt;"DUE","",COUNTIF($S$3:$S306,"DUE"))</f>
        <v/>
      </c>
    </row>
    <row r="307" customFormat="false" ht="15" hidden="false" customHeight="false" outlineLevel="0" collapsed="false">
      <c r="A307" s="12" t="str">
        <f aca="false">IF($F307="","",ROW()-2)</f>
        <v/>
      </c>
      <c r="B307" s="19"/>
      <c r="C307" s="20"/>
      <c r="D307" s="21"/>
      <c r="E307" s="21"/>
      <c r="F307" s="21"/>
      <c r="G307" s="20"/>
      <c r="H307" s="21"/>
      <c r="I307" s="20"/>
      <c r="J307" s="20"/>
      <c r="K307" s="21"/>
      <c r="L307" s="21"/>
      <c r="M307" s="22" t="str">
        <f aca="false">IF($B307="","",$B307+2)</f>
        <v/>
      </c>
      <c r="N307" s="20"/>
      <c r="O307" s="22" t="str">
        <f aca="false">IF($B307="","",$B307+5)</f>
        <v/>
      </c>
      <c r="P307" s="20"/>
      <c r="Q307" s="22" t="str">
        <f aca="false">IF($B307="","",$B307+10)</f>
        <v/>
      </c>
      <c r="R307" s="20"/>
      <c r="S307" s="23" t="str">
        <f aca="true">IF($B307="","",IF(AND($N307="Y",$P307="Y",$R307="Y"),"Done",IF(OR(AND($M307&lt;=TODAY(),$N307&lt;&gt;"Y"),AND($O307&lt;=TODAY(),$P307&lt;&gt;"Y"),AND($Q307&lt;=TODAY(),$R307&lt;&gt;"Y")),"DUE","Scheduled")))</f>
        <v/>
      </c>
      <c r="T307" s="20"/>
      <c r="U307" s="23" t="str">
        <f aca="false">IF($B307="","",IF(OR($T307&lt;=2,$I307="Editorial"),"REDO",""))</f>
        <v/>
      </c>
      <c r="V307" s="18" t="str">
        <f aca="false">IF($S307&lt;&gt;"DUE","",COUNTIF($S$3:$S307,"DUE"))</f>
        <v/>
      </c>
    </row>
    <row r="308" customFormat="false" ht="15" hidden="false" customHeight="false" outlineLevel="0" collapsed="false">
      <c r="A308" s="12" t="str">
        <f aca="false">IF($F308="","",ROW()-2)</f>
        <v/>
      </c>
      <c r="B308" s="19"/>
      <c r="C308" s="20"/>
      <c r="D308" s="21"/>
      <c r="E308" s="21"/>
      <c r="F308" s="21"/>
      <c r="G308" s="20"/>
      <c r="H308" s="21"/>
      <c r="I308" s="20"/>
      <c r="J308" s="20"/>
      <c r="K308" s="21"/>
      <c r="L308" s="21"/>
      <c r="M308" s="22" t="str">
        <f aca="false">IF($B308="","",$B308+2)</f>
        <v/>
      </c>
      <c r="N308" s="20"/>
      <c r="O308" s="22" t="str">
        <f aca="false">IF($B308="","",$B308+5)</f>
        <v/>
      </c>
      <c r="P308" s="20"/>
      <c r="Q308" s="22" t="str">
        <f aca="false">IF($B308="","",$B308+10)</f>
        <v/>
      </c>
      <c r="R308" s="20"/>
      <c r="S308" s="23" t="str">
        <f aca="true">IF($B308="","",IF(AND($N308="Y",$P308="Y",$R308="Y"),"Done",IF(OR(AND($M308&lt;=TODAY(),$N308&lt;&gt;"Y"),AND($O308&lt;=TODAY(),$P308&lt;&gt;"Y"),AND($Q308&lt;=TODAY(),$R308&lt;&gt;"Y")),"DUE","Scheduled")))</f>
        <v/>
      </c>
      <c r="T308" s="20"/>
      <c r="U308" s="23" t="str">
        <f aca="false">IF($B308="","",IF(OR($T308&lt;=2,$I308="Editorial"),"REDO",""))</f>
        <v/>
      </c>
      <c r="V308" s="18" t="str">
        <f aca="false">IF($S308&lt;&gt;"DUE","",COUNTIF($S$3:$S308,"DUE"))</f>
        <v/>
      </c>
    </row>
    <row r="309" customFormat="false" ht="15" hidden="false" customHeight="false" outlineLevel="0" collapsed="false">
      <c r="A309" s="12" t="str">
        <f aca="false">IF($F309="","",ROW()-2)</f>
        <v/>
      </c>
      <c r="B309" s="19"/>
      <c r="C309" s="20"/>
      <c r="D309" s="21"/>
      <c r="E309" s="21"/>
      <c r="F309" s="21"/>
      <c r="G309" s="20"/>
      <c r="H309" s="21"/>
      <c r="I309" s="20"/>
      <c r="J309" s="20"/>
      <c r="K309" s="21"/>
      <c r="L309" s="21"/>
      <c r="M309" s="22" t="str">
        <f aca="false">IF($B309="","",$B309+2)</f>
        <v/>
      </c>
      <c r="N309" s="20"/>
      <c r="O309" s="22" t="str">
        <f aca="false">IF($B309="","",$B309+5)</f>
        <v/>
      </c>
      <c r="P309" s="20"/>
      <c r="Q309" s="22" t="str">
        <f aca="false">IF($B309="","",$B309+10)</f>
        <v/>
      </c>
      <c r="R309" s="20"/>
      <c r="S309" s="23" t="str">
        <f aca="true">IF($B309="","",IF(AND($N309="Y",$P309="Y",$R309="Y"),"Done",IF(OR(AND($M309&lt;=TODAY(),$N309&lt;&gt;"Y"),AND($O309&lt;=TODAY(),$P309&lt;&gt;"Y"),AND($Q309&lt;=TODAY(),$R309&lt;&gt;"Y")),"DUE","Scheduled")))</f>
        <v/>
      </c>
      <c r="T309" s="20"/>
      <c r="U309" s="23" t="str">
        <f aca="false">IF($B309="","",IF(OR($T309&lt;=2,$I309="Editorial"),"REDO",""))</f>
        <v/>
      </c>
      <c r="V309" s="18" t="str">
        <f aca="false">IF($S309&lt;&gt;"DUE","",COUNTIF($S$3:$S309,"DUE"))</f>
        <v/>
      </c>
    </row>
    <row r="310" customFormat="false" ht="15" hidden="false" customHeight="false" outlineLevel="0" collapsed="false">
      <c r="A310" s="12" t="str">
        <f aca="false">IF($F310="","",ROW()-2)</f>
        <v/>
      </c>
      <c r="B310" s="19"/>
      <c r="C310" s="20"/>
      <c r="D310" s="21"/>
      <c r="E310" s="21"/>
      <c r="F310" s="21"/>
      <c r="G310" s="20"/>
      <c r="H310" s="21"/>
      <c r="I310" s="20"/>
      <c r="J310" s="20"/>
      <c r="K310" s="21"/>
      <c r="L310" s="21"/>
      <c r="M310" s="22" t="str">
        <f aca="false">IF($B310="","",$B310+2)</f>
        <v/>
      </c>
      <c r="N310" s="20"/>
      <c r="O310" s="22" t="str">
        <f aca="false">IF($B310="","",$B310+5)</f>
        <v/>
      </c>
      <c r="P310" s="20"/>
      <c r="Q310" s="22" t="str">
        <f aca="false">IF($B310="","",$B310+10)</f>
        <v/>
      </c>
      <c r="R310" s="20"/>
      <c r="S310" s="23" t="str">
        <f aca="true">IF($B310="","",IF(AND($N310="Y",$P310="Y",$R310="Y"),"Done",IF(OR(AND($M310&lt;=TODAY(),$N310&lt;&gt;"Y"),AND($O310&lt;=TODAY(),$P310&lt;&gt;"Y"),AND($Q310&lt;=TODAY(),$R310&lt;&gt;"Y")),"DUE","Scheduled")))</f>
        <v/>
      </c>
      <c r="T310" s="20"/>
      <c r="U310" s="23" t="str">
        <f aca="false">IF($B310="","",IF(OR($T310&lt;=2,$I310="Editorial"),"REDO",""))</f>
        <v/>
      </c>
      <c r="V310" s="18" t="str">
        <f aca="false">IF($S310&lt;&gt;"DUE","",COUNTIF($S$3:$S310,"DUE"))</f>
        <v/>
      </c>
    </row>
    <row r="311" customFormat="false" ht="15" hidden="false" customHeight="false" outlineLevel="0" collapsed="false">
      <c r="A311" s="12" t="str">
        <f aca="false">IF($F311="","",ROW()-2)</f>
        <v/>
      </c>
      <c r="B311" s="19"/>
      <c r="C311" s="20"/>
      <c r="D311" s="21"/>
      <c r="E311" s="21"/>
      <c r="F311" s="21"/>
      <c r="G311" s="20"/>
      <c r="H311" s="21"/>
      <c r="I311" s="20"/>
      <c r="J311" s="20"/>
      <c r="K311" s="21"/>
      <c r="L311" s="21"/>
      <c r="M311" s="22" t="str">
        <f aca="false">IF($B311="","",$B311+2)</f>
        <v/>
      </c>
      <c r="N311" s="20"/>
      <c r="O311" s="22" t="str">
        <f aca="false">IF($B311="","",$B311+5)</f>
        <v/>
      </c>
      <c r="P311" s="20"/>
      <c r="Q311" s="22" t="str">
        <f aca="false">IF($B311="","",$B311+10)</f>
        <v/>
      </c>
      <c r="R311" s="20"/>
      <c r="S311" s="23" t="str">
        <f aca="true">IF($B311="","",IF(AND($N311="Y",$P311="Y",$R311="Y"),"Done",IF(OR(AND($M311&lt;=TODAY(),$N311&lt;&gt;"Y"),AND($O311&lt;=TODAY(),$P311&lt;&gt;"Y"),AND($Q311&lt;=TODAY(),$R311&lt;&gt;"Y")),"DUE","Scheduled")))</f>
        <v/>
      </c>
      <c r="T311" s="20"/>
      <c r="U311" s="23" t="str">
        <f aca="false">IF($B311="","",IF(OR($T311&lt;=2,$I311="Editorial"),"REDO",""))</f>
        <v/>
      </c>
      <c r="V311" s="18" t="str">
        <f aca="false">IF($S311&lt;&gt;"DUE","",COUNTIF($S$3:$S311,"DUE"))</f>
        <v/>
      </c>
    </row>
    <row r="312" customFormat="false" ht="15" hidden="false" customHeight="false" outlineLevel="0" collapsed="false">
      <c r="A312" s="12" t="str">
        <f aca="false">IF($F312="","",ROW()-2)</f>
        <v/>
      </c>
      <c r="B312" s="19"/>
      <c r="C312" s="20"/>
      <c r="D312" s="21"/>
      <c r="E312" s="21"/>
      <c r="F312" s="21"/>
      <c r="G312" s="20"/>
      <c r="H312" s="21"/>
      <c r="I312" s="20"/>
      <c r="J312" s="20"/>
      <c r="K312" s="21"/>
      <c r="L312" s="21"/>
      <c r="M312" s="22" t="str">
        <f aca="false">IF($B312="","",$B312+2)</f>
        <v/>
      </c>
      <c r="N312" s="20"/>
      <c r="O312" s="22" t="str">
        <f aca="false">IF($B312="","",$B312+5)</f>
        <v/>
      </c>
      <c r="P312" s="20"/>
      <c r="Q312" s="22" t="str">
        <f aca="false">IF($B312="","",$B312+10)</f>
        <v/>
      </c>
      <c r="R312" s="20"/>
      <c r="S312" s="23" t="str">
        <f aca="true">IF($B312="","",IF(AND($N312="Y",$P312="Y",$R312="Y"),"Done",IF(OR(AND($M312&lt;=TODAY(),$N312&lt;&gt;"Y"),AND($O312&lt;=TODAY(),$P312&lt;&gt;"Y"),AND($Q312&lt;=TODAY(),$R312&lt;&gt;"Y")),"DUE","Scheduled")))</f>
        <v/>
      </c>
      <c r="T312" s="20"/>
      <c r="U312" s="23" t="str">
        <f aca="false">IF($B312="","",IF(OR($T312&lt;=2,$I312="Editorial"),"REDO",""))</f>
        <v/>
      </c>
      <c r="V312" s="18" t="str">
        <f aca="false">IF($S312&lt;&gt;"DUE","",COUNTIF($S$3:$S312,"DUE"))</f>
        <v/>
      </c>
    </row>
    <row r="313" customFormat="false" ht="15" hidden="false" customHeight="false" outlineLevel="0" collapsed="false">
      <c r="A313" s="12" t="str">
        <f aca="false">IF($F313="","",ROW()-2)</f>
        <v/>
      </c>
      <c r="B313" s="19"/>
      <c r="C313" s="20"/>
      <c r="D313" s="21"/>
      <c r="E313" s="21"/>
      <c r="F313" s="21"/>
      <c r="G313" s="20"/>
      <c r="H313" s="21"/>
      <c r="I313" s="20"/>
      <c r="J313" s="20"/>
      <c r="K313" s="21"/>
      <c r="L313" s="21"/>
      <c r="M313" s="22" t="str">
        <f aca="false">IF($B313="","",$B313+2)</f>
        <v/>
      </c>
      <c r="N313" s="20"/>
      <c r="O313" s="22" t="str">
        <f aca="false">IF($B313="","",$B313+5)</f>
        <v/>
      </c>
      <c r="P313" s="20"/>
      <c r="Q313" s="22" t="str">
        <f aca="false">IF($B313="","",$B313+10)</f>
        <v/>
      </c>
      <c r="R313" s="20"/>
      <c r="S313" s="23" t="str">
        <f aca="true">IF($B313="","",IF(AND($N313="Y",$P313="Y",$R313="Y"),"Done",IF(OR(AND($M313&lt;=TODAY(),$N313&lt;&gt;"Y"),AND($O313&lt;=TODAY(),$P313&lt;&gt;"Y"),AND($Q313&lt;=TODAY(),$R313&lt;&gt;"Y")),"DUE","Scheduled")))</f>
        <v/>
      </c>
      <c r="T313" s="20"/>
      <c r="U313" s="23" t="str">
        <f aca="false">IF($B313="","",IF(OR($T313&lt;=2,$I313="Editorial"),"REDO",""))</f>
        <v/>
      </c>
      <c r="V313" s="18" t="str">
        <f aca="false">IF($S313&lt;&gt;"DUE","",COUNTIF($S$3:$S313,"DUE"))</f>
        <v/>
      </c>
    </row>
    <row r="314" customFormat="false" ht="15" hidden="false" customHeight="false" outlineLevel="0" collapsed="false">
      <c r="A314" s="12" t="str">
        <f aca="false">IF($F314="","",ROW()-2)</f>
        <v/>
      </c>
      <c r="B314" s="19"/>
      <c r="C314" s="20"/>
      <c r="D314" s="21"/>
      <c r="E314" s="21"/>
      <c r="F314" s="21"/>
      <c r="G314" s="20"/>
      <c r="H314" s="21"/>
      <c r="I314" s="20"/>
      <c r="J314" s="20"/>
      <c r="K314" s="21"/>
      <c r="L314" s="21"/>
      <c r="M314" s="22" t="str">
        <f aca="false">IF($B314="","",$B314+2)</f>
        <v/>
      </c>
      <c r="N314" s="20"/>
      <c r="O314" s="22" t="str">
        <f aca="false">IF($B314="","",$B314+5)</f>
        <v/>
      </c>
      <c r="P314" s="20"/>
      <c r="Q314" s="22" t="str">
        <f aca="false">IF($B314="","",$B314+10)</f>
        <v/>
      </c>
      <c r="R314" s="20"/>
      <c r="S314" s="23" t="str">
        <f aca="true">IF($B314="","",IF(AND($N314="Y",$P314="Y",$R314="Y"),"Done",IF(OR(AND($M314&lt;=TODAY(),$N314&lt;&gt;"Y"),AND($O314&lt;=TODAY(),$P314&lt;&gt;"Y"),AND($Q314&lt;=TODAY(),$R314&lt;&gt;"Y")),"DUE","Scheduled")))</f>
        <v/>
      </c>
      <c r="T314" s="20"/>
      <c r="U314" s="23" t="str">
        <f aca="false">IF($B314="","",IF(OR($T314&lt;=2,$I314="Editorial"),"REDO",""))</f>
        <v/>
      </c>
      <c r="V314" s="18" t="str">
        <f aca="false">IF($S314&lt;&gt;"DUE","",COUNTIF($S$3:$S314,"DUE"))</f>
        <v/>
      </c>
    </row>
    <row r="315" customFormat="false" ht="15" hidden="false" customHeight="false" outlineLevel="0" collapsed="false">
      <c r="A315" s="12" t="str">
        <f aca="false">IF($F315="","",ROW()-2)</f>
        <v/>
      </c>
      <c r="B315" s="19"/>
      <c r="C315" s="20"/>
      <c r="D315" s="21"/>
      <c r="E315" s="21"/>
      <c r="F315" s="21"/>
      <c r="G315" s="20"/>
      <c r="H315" s="21"/>
      <c r="I315" s="20"/>
      <c r="J315" s="20"/>
      <c r="K315" s="21"/>
      <c r="L315" s="21"/>
      <c r="M315" s="22" t="str">
        <f aca="false">IF($B315="","",$B315+2)</f>
        <v/>
      </c>
      <c r="N315" s="20"/>
      <c r="O315" s="22" t="str">
        <f aca="false">IF($B315="","",$B315+5)</f>
        <v/>
      </c>
      <c r="P315" s="20"/>
      <c r="Q315" s="22" t="str">
        <f aca="false">IF($B315="","",$B315+10)</f>
        <v/>
      </c>
      <c r="R315" s="20"/>
      <c r="S315" s="23" t="str">
        <f aca="true">IF($B315="","",IF(AND($N315="Y",$P315="Y",$R315="Y"),"Done",IF(OR(AND($M315&lt;=TODAY(),$N315&lt;&gt;"Y"),AND($O315&lt;=TODAY(),$P315&lt;&gt;"Y"),AND($Q315&lt;=TODAY(),$R315&lt;&gt;"Y")),"DUE","Scheduled")))</f>
        <v/>
      </c>
      <c r="T315" s="20"/>
      <c r="U315" s="23" t="str">
        <f aca="false">IF($B315="","",IF(OR($T315&lt;=2,$I315="Editorial"),"REDO",""))</f>
        <v/>
      </c>
      <c r="V315" s="18" t="str">
        <f aca="false">IF($S315&lt;&gt;"DUE","",COUNTIF($S$3:$S315,"DUE"))</f>
        <v/>
      </c>
    </row>
    <row r="316" customFormat="false" ht="15" hidden="false" customHeight="false" outlineLevel="0" collapsed="false">
      <c r="A316" s="12" t="str">
        <f aca="false">IF($F316="","",ROW()-2)</f>
        <v/>
      </c>
      <c r="B316" s="19"/>
      <c r="C316" s="20"/>
      <c r="D316" s="21"/>
      <c r="E316" s="21"/>
      <c r="F316" s="21"/>
      <c r="G316" s="20"/>
      <c r="H316" s="21"/>
      <c r="I316" s="20"/>
      <c r="J316" s="20"/>
      <c r="K316" s="21"/>
      <c r="L316" s="21"/>
      <c r="M316" s="22" t="str">
        <f aca="false">IF($B316="","",$B316+2)</f>
        <v/>
      </c>
      <c r="N316" s="20"/>
      <c r="O316" s="22" t="str">
        <f aca="false">IF($B316="","",$B316+5)</f>
        <v/>
      </c>
      <c r="P316" s="20"/>
      <c r="Q316" s="22" t="str">
        <f aca="false">IF($B316="","",$B316+10)</f>
        <v/>
      </c>
      <c r="R316" s="20"/>
      <c r="S316" s="23" t="str">
        <f aca="true">IF($B316="","",IF(AND($N316="Y",$P316="Y",$R316="Y"),"Done",IF(OR(AND($M316&lt;=TODAY(),$N316&lt;&gt;"Y"),AND($O316&lt;=TODAY(),$P316&lt;&gt;"Y"),AND($Q316&lt;=TODAY(),$R316&lt;&gt;"Y")),"DUE","Scheduled")))</f>
        <v/>
      </c>
      <c r="T316" s="20"/>
      <c r="U316" s="23" t="str">
        <f aca="false">IF($B316="","",IF(OR($T316&lt;=2,$I316="Editorial"),"REDO",""))</f>
        <v/>
      </c>
      <c r="V316" s="18" t="str">
        <f aca="false">IF($S316&lt;&gt;"DUE","",COUNTIF($S$3:$S316,"DUE"))</f>
        <v/>
      </c>
    </row>
    <row r="317" customFormat="false" ht="15" hidden="false" customHeight="false" outlineLevel="0" collapsed="false">
      <c r="A317" s="12" t="str">
        <f aca="false">IF($F317="","",ROW()-2)</f>
        <v/>
      </c>
      <c r="B317" s="19"/>
      <c r="C317" s="20"/>
      <c r="D317" s="21"/>
      <c r="E317" s="21"/>
      <c r="F317" s="21"/>
      <c r="G317" s="20"/>
      <c r="H317" s="21"/>
      <c r="I317" s="20"/>
      <c r="J317" s="20"/>
      <c r="K317" s="21"/>
      <c r="L317" s="21"/>
      <c r="M317" s="22" t="str">
        <f aca="false">IF($B317="","",$B317+2)</f>
        <v/>
      </c>
      <c r="N317" s="20"/>
      <c r="O317" s="22" t="str">
        <f aca="false">IF($B317="","",$B317+5)</f>
        <v/>
      </c>
      <c r="P317" s="20"/>
      <c r="Q317" s="22" t="str">
        <f aca="false">IF($B317="","",$B317+10)</f>
        <v/>
      </c>
      <c r="R317" s="20"/>
      <c r="S317" s="23" t="str">
        <f aca="true">IF($B317="","",IF(AND($N317="Y",$P317="Y",$R317="Y"),"Done",IF(OR(AND($M317&lt;=TODAY(),$N317&lt;&gt;"Y"),AND($O317&lt;=TODAY(),$P317&lt;&gt;"Y"),AND($Q317&lt;=TODAY(),$R317&lt;&gt;"Y")),"DUE","Scheduled")))</f>
        <v/>
      </c>
      <c r="T317" s="20"/>
      <c r="U317" s="23" t="str">
        <f aca="false">IF($B317="","",IF(OR($T317&lt;=2,$I317="Editorial"),"REDO",""))</f>
        <v/>
      </c>
      <c r="V317" s="18" t="str">
        <f aca="false">IF($S317&lt;&gt;"DUE","",COUNTIF($S$3:$S317,"DUE"))</f>
        <v/>
      </c>
    </row>
    <row r="318" customFormat="false" ht="15" hidden="false" customHeight="false" outlineLevel="0" collapsed="false">
      <c r="A318" s="12" t="str">
        <f aca="false">IF($F318="","",ROW()-2)</f>
        <v/>
      </c>
      <c r="B318" s="19"/>
      <c r="C318" s="20"/>
      <c r="D318" s="21"/>
      <c r="E318" s="21"/>
      <c r="F318" s="21"/>
      <c r="G318" s="20"/>
      <c r="H318" s="21"/>
      <c r="I318" s="20"/>
      <c r="J318" s="20"/>
      <c r="K318" s="21"/>
      <c r="L318" s="21"/>
      <c r="M318" s="22" t="str">
        <f aca="false">IF($B318="","",$B318+2)</f>
        <v/>
      </c>
      <c r="N318" s="20"/>
      <c r="O318" s="22" t="str">
        <f aca="false">IF($B318="","",$B318+5)</f>
        <v/>
      </c>
      <c r="P318" s="20"/>
      <c r="Q318" s="22" t="str">
        <f aca="false">IF($B318="","",$B318+10)</f>
        <v/>
      </c>
      <c r="R318" s="20"/>
      <c r="S318" s="23" t="str">
        <f aca="true">IF($B318="","",IF(AND($N318="Y",$P318="Y",$R318="Y"),"Done",IF(OR(AND($M318&lt;=TODAY(),$N318&lt;&gt;"Y"),AND($O318&lt;=TODAY(),$P318&lt;&gt;"Y"),AND($Q318&lt;=TODAY(),$R318&lt;&gt;"Y")),"DUE","Scheduled")))</f>
        <v/>
      </c>
      <c r="T318" s="20"/>
      <c r="U318" s="23" t="str">
        <f aca="false">IF($B318="","",IF(OR($T318&lt;=2,$I318="Editorial"),"REDO",""))</f>
        <v/>
      </c>
      <c r="V318" s="18" t="str">
        <f aca="false">IF($S318&lt;&gt;"DUE","",COUNTIF($S$3:$S318,"DUE"))</f>
        <v/>
      </c>
    </row>
    <row r="319" customFormat="false" ht="15" hidden="false" customHeight="false" outlineLevel="0" collapsed="false">
      <c r="A319" s="12" t="str">
        <f aca="false">IF($F319="","",ROW()-2)</f>
        <v/>
      </c>
      <c r="B319" s="19"/>
      <c r="C319" s="20"/>
      <c r="D319" s="21"/>
      <c r="E319" s="21"/>
      <c r="F319" s="21"/>
      <c r="G319" s="20"/>
      <c r="H319" s="21"/>
      <c r="I319" s="20"/>
      <c r="J319" s="20"/>
      <c r="K319" s="21"/>
      <c r="L319" s="21"/>
      <c r="M319" s="22" t="str">
        <f aca="false">IF($B319="","",$B319+2)</f>
        <v/>
      </c>
      <c r="N319" s="20"/>
      <c r="O319" s="22" t="str">
        <f aca="false">IF($B319="","",$B319+5)</f>
        <v/>
      </c>
      <c r="P319" s="20"/>
      <c r="Q319" s="22" t="str">
        <f aca="false">IF($B319="","",$B319+10)</f>
        <v/>
      </c>
      <c r="R319" s="20"/>
      <c r="S319" s="23" t="str">
        <f aca="true">IF($B319="","",IF(AND($N319="Y",$P319="Y",$R319="Y"),"Done",IF(OR(AND($M319&lt;=TODAY(),$N319&lt;&gt;"Y"),AND($O319&lt;=TODAY(),$P319&lt;&gt;"Y"),AND($Q319&lt;=TODAY(),$R319&lt;&gt;"Y")),"DUE","Scheduled")))</f>
        <v/>
      </c>
      <c r="T319" s="20"/>
      <c r="U319" s="23" t="str">
        <f aca="false">IF($B319="","",IF(OR($T319&lt;=2,$I319="Editorial"),"REDO",""))</f>
        <v/>
      </c>
      <c r="V319" s="18" t="str">
        <f aca="false">IF($S319&lt;&gt;"DUE","",COUNTIF($S$3:$S319,"DUE"))</f>
        <v/>
      </c>
    </row>
    <row r="320" customFormat="false" ht="15" hidden="false" customHeight="false" outlineLevel="0" collapsed="false">
      <c r="A320" s="12" t="str">
        <f aca="false">IF($F320="","",ROW()-2)</f>
        <v/>
      </c>
      <c r="B320" s="19"/>
      <c r="C320" s="20"/>
      <c r="D320" s="21"/>
      <c r="E320" s="21"/>
      <c r="F320" s="21"/>
      <c r="G320" s="20"/>
      <c r="H320" s="21"/>
      <c r="I320" s="20"/>
      <c r="J320" s="20"/>
      <c r="K320" s="21"/>
      <c r="L320" s="21"/>
      <c r="M320" s="22" t="str">
        <f aca="false">IF($B320="","",$B320+2)</f>
        <v/>
      </c>
      <c r="N320" s="20"/>
      <c r="O320" s="22" t="str">
        <f aca="false">IF($B320="","",$B320+5)</f>
        <v/>
      </c>
      <c r="P320" s="20"/>
      <c r="Q320" s="22" t="str">
        <f aca="false">IF($B320="","",$B320+10)</f>
        <v/>
      </c>
      <c r="R320" s="20"/>
      <c r="S320" s="23" t="str">
        <f aca="true">IF($B320="","",IF(AND($N320="Y",$P320="Y",$R320="Y"),"Done",IF(OR(AND($M320&lt;=TODAY(),$N320&lt;&gt;"Y"),AND($O320&lt;=TODAY(),$P320&lt;&gt;"Y"),AND($Q320&lt;=TODAY(),$R320&lt;&gt;"Y")),"DUE","Scheduled")))</f>
        <v/>
      </c>
      <c r="T320" s="20"/>
      <c r="U320" s="23" t="str">
        <f aca="false">IF($B320="","",IF(OR($T320&lt;=2,$I320="Editorial"),"REDO",""))</f>
        <v/>
      </c>
      <c r="V320" s="18" t="str">
        <f aca="false">IF($S320&lt;&gt;"DUE","",COUNTIF($S$3:$S320,"DUE"))</f>
        <v/>
      </c>
    </row>
    <row r="321" customFormat="false" ht="15" hidden="false" customHeight="false" outlineLevel="0" collapsed="false">
      <c r="A321" s="12" t="str">
        <f aca="false">IF($F321="","",ROW()-2)</f>
        <v/>
      </c>
      <c r="B321" s="19"/>
      <c r="C321" s="20"/>
      <c r="D321" s="21"/>
      <c r="E321" s="21"/>
      <c r="F321" s="21"/>
      <c r="G321" s="20"/>
      <c r="H321" s="21"/>
      <c r="I321" s="20"/>
      <c r="J321" s="20"/>
      <c r="K321" s="21"/>
      <c r="L321" s="21"/>
      <c r="M321" s="22" t="str">
        <f aca="false">IF($B321="","",$B321+2)</f>
        <v/>
      </c>
      <c r="N321" s="20"/>
      <c r="O321" s="22" t="str">
        <f aca="false">IF($B321="","",$B321+5)</f>
        <v/>
      </c>
      <c r="P321" s="20"/>
      <c r="Q321" s="22" t="str">
        <f aca="false">IF($B321="","",$B321+10)</f>
        <v/>
      </c>
      <c r="R321" s="20"/>
      <c r="S321" s="23" t="str">
        <f aca="true">IF($B321="","",IF(AND($N321="Y",$P321="Y",$R321="Y"),"Done",IF(OR(AND($M321&lt;=TODAY(),$N321&lt;&gt;"Y"),AND($O321&lt;=TODAY(),$P321&lt;&gt;"Y"),AND($Q321&lt;=TODAY(),$R321&lt;&gt;"Y")),"DUE","Scheduled")))</f>
        <v/>
      </c>
      <c r="T321" s="20"/>
      <c r="U321" s="23" t="str">
        <f aca="false">IF($B321="","",IF(OR($T321&lt;=2,$I321="Editorial"),"REDO",""))</f>
        <v/>
      </c>
      <c r="V321" s="18" t="str">
        <f aca="false">IF($S321&lt;&gt;"DUE","",COUNTIF($S$3:$S321,"DUE"))</f>
        <v/>
      </c>
    </row>
    <row r="322" customFormat="false" ht="15" hidden="false" customHeight="false" outlineLevel="0" collapsed="false">
      <c r="A322" s="12" t="str">
        <f aca="false">IF($F322="","",ROW()-2)</f>
        <v/>
      </c>
      <c r="B322" s="19"/>
      <c r="C322" s="20"/>
      <c r="D322" s="21"/>
      <c r="E322" s="21"/>
      <c r="F322" s="21"/>
      <c r="G322" s="20"/>
      <c r="H322" s="21"/>
      <c r="I322" s="20"/>
      <c r="J322" s="20"/>
      <c r="K322" s="21"/>
      <c r="L322" s="21"/>
      <c r="M322" s="22" t="str">
        <f aca="false">IF($B322="","",$B322+2)</f>
        <v/>
      </c>
      <c r="N322" s="20"/>
      <c r="O322" s="22" t="str">
        <f aca="false">IF($B322="","",$B322+5)</f>
        <v/>
      </c>
      <c r="P322" s="20"/>
      <c r="Q322" s="22" t="str">
        <f aca="false">IF($B322="","",$B322+10)</f>
        <v/>
      </c>
      <c r="R322" s="20"/>
      <c r="S322" s="23" t="str">
        <f aca="true">IF($B322="","",IF(AND($N322="Y",$P322="Y",$R322="Y"),"Done",IF(OR(AND($M322&lt;=TODAY(),$N322&lt;&gt;"Y"),AND($O322&lt;=TODAY(),$P322&lt;&gt;"Y"),AND($Q322&lt;=TODAY(),$R322&lt;&gt;"Y")),"DUE","Scheduled")))</f>
        <v/>
      </c>
      <c r="T322" s="20"/>
      <c r="U322" s="23" t="str">
        <f aca="false">IF($B322="","",IF(OR($T322&lt;=2,$I322="Editorial"),"REDO",""))</f>
        <v/>
      </c>
      <c r="V322" s="18" t="str">
        <f aca="false">IF($S322&lt;&gt;"DUE","",COUNTIF($S$3:$S322,"DUE"))</f>
        <v/>
      </c>
    </row>
    <row r="323" customFormat="false" ht="15" hidden="false" customHeight="false" outlineLevel="0" collapsed="false">
      <c r="A323" s="12" t="str">
        <f aca="false">IF($F323="","",ROW()-2)</f>
        <v/>
      </c>
      <c r="B323" s="19"/>
      <c r="C323" s="20"/>
      <c r="D323" s="21"/>
      <c r="E323" s="21"/>
      <c r="F323" s="21"/>
      <c r="G323" s="20"/>
      <c r="H323" s="21"/>
      <c r="I323" s="20"/>
      <c r="J323" s="20"/>
      <c r="K323" s="21"/>
      <c r="L323" s="21"/>
      <c r="M323" s="22" t="str">
        <f aca="false">IF($B323="","",$B323+2)</f>
        <v/>
      </c>
      <c r="N323" s="20"/>
      <c r="O323" s="22" t="str">
        <f aca="false">IF($B323="","",$B323+5)</f>
        <v/>
      </c>
      <c r="P323" s="20"/>
      <c r="Q323" s="22" t="str">
        <f aca="false">IF($B323="","",$B323+10)</f>
        <v/>
      </c>
      <c r="R323" s="20"/>
      <c r="S323" s="23" t="str">
        <f aca="true">IF($B323="","",IF(AND($N323="Y",$P323="Y",$R323="Y"),"Done",IF(OR(AND($M323&lt;=TODAY(),$N323&lt;&gt;"Y"),AND($O323&lt;=TODAY(),$P323&lt;&gt;"Y"),AND($Q323&lt;=TODAY(),$R323&lt;&gt;"Y")),"DUE","Scheduled")))</f>
        <v/>
      </c>
      <c r="T323" s="20"/>
      <c r="U323" s="23" t="str">
        <f aca="false">IF($B323="","",IF(OR($T323&lt;=2,$I323="Editorial"),"REDO",""))</f>
        <v/>
      </c>
      <c r="V323" s="18" t="str">
        <f aca="false">IF($S323&lt;&gt;"DUE","",COUNTIF($S$3:$S323,"DUE"))</f>
        <v/>
      </c>
    </row>
    <row r="324" customFormat="false" ht="15" hidden="false" customHeight="false" outlineLevel="0" collapsed="false">
      <c r="A324" s="12" t="str">
        <f aca="false">IF($F324="","",ROW()-2)</f>
        <v/>
      </c>
      <c r="B324" s="19"/>
      <c r="C324" s="20"/>
      <c r="D324" s="21"/>
      <c r="E324" s="21"/>
      <c r="F324" s="21"/>
      <c r="G324" s="20"/>
      <c r="H324" s="21"/>
      <c r="I324" s="20"/>
      <c r="J324" s="20"/>
      <c r="K324" s="21"/>
      <c r="L324" s="21"/>
      <c r="M324" s="22" t="str">
        <f aca="false">IF($B324="","",$B324+2)</f>
        <v/>
      </c>
      <c r="N324" s="20"/>
      <c r="O324" s="22" t="str">
        <f aca="false">IF($B324="","",$B324+5)</f>
        <v/>
      </c>
      <c r="P324" s="20"/>
      <c r="Q324" s="22" t="str">
        <f aca="false">IF($B324="","",$B324+10)</f>
        <v/>
      </c>
      <c r="R324" s="20"/>
      <c r="S324" s="23" t="str">
        <f aca="true">IF($B324="","",IF(AND($N324="Y",$P324="Y",$R324="Y"),"Done",IF(OR(AND($M324&lt;=TODAY(),$N324&lt;&gt;"Y"),AND($O324&lt;=TODAY(),$P324&lt;&gt;"Y"),AND($Q324&lt;=TODAY(),$R324&lt;&gt;"Y")),"DUE","Scheduled")))</f>
        <v/>
      </c>
      <c r="T324" s="20"/>
      <c r="U324" s="23" t="str">
        <f aca="false">IF($B324="","",IF(OR($T324&lt;=2,$I324="Editorial"),"REDO",""))</f>
        <v/>
      </c>
      <c r="V324" s="18" t="str">
        <f aca="false">IF($S324&lt;&gt;"DUE","",COUNTIF($S$3:$S324,"DUE"))</f>
        <v/>
      </c>
    </row>
    <row r="325" customFormat="false" ht="15" hidden="false" customHeight="false" outlineLevel="0" collapsed="false">
      <c r="A325" s="12" t="str">
        <f aca="false">IF($F325="","",ROW()-2)</f>
        <v/>
      </c>
      <c r="B325" s="19"/>
      <c r="C325" s="20"/>
      <c r="D325" s="21"/>
      <c r="E325" s="21"/>
      <c r="F325" s="21"/>
      <c r="G325" s="20"/>
      <c r="H325" s="21"/>
      <c r="I325" s="20"/>
      <c r="J325" s="20"/>
      <c r="K325" s="21"/>
      <c r="L325" s="21"/>
      <c r="M325" s="22" t="str">
        <f aca="false">IF($B325="","",$B325+2)</f>
        <v/>
      </c>
      <c r="N325" s="20"/>
      <c r="O325" s="22" t="str">
        <f aca="false">IF($B325="","",$B325+5)</f>
        <v/>
      </c>
      <c r="P325" s="20"/>
      <c r="Q325" s="22" t="str">
        <f aca="false">IF($B325="","",$B325+10)</f>
        <v/>
      </c>
      <c r="R325" s="20"/>
      <c r="S325" s="23" t="str">
        <f aca="true">IF($B325="","",IF(AND($N325="Y",$P325="Y",$R325="Y"),"Done",IF(OR(AND($M325&lt;=TODAY(),$N325&lt;&gt;"Y"),AND($O325&lt;=TODAY(),$P325&lt;&gt;"Y"),AND($Q325&lt;=TODAY(),$R325&lt;&gt;"Y")),"DUE","Scheduled")))</f>
        <v/>
      </c>
      <c r="T325" s="20"/>
      <c r="U325" s="23" t="str">
        <f aca="false">IF($B325="","",IF(OR($T325&lt;=2,$I325="Editorial"),"REDO",""))</f>
        <v/>
      </c>
      <c r="V325" s="18" t="str">
        <f aca="false">IF($S325&lt;&gt;"DUE","",COUNTIF($S$3:$S325,"DUE"))</f>
        <v/>
      </c>
    </row>
    <row r="326" customFormat="false" ht="15" hidden="false" customHeight="false" outlineLevel="0" collapsed="false">
      <c r="A326" s="12" t="str">
        <f aca="false">IF($F326="","",ROW()-2)</f>
        <v/>
      </c>
      <c r="B326" s="19"/>
      <c r="C326" s="20"/>
      <c r="D326" s="21"/>
      <c r="E326" s="21"/>
      <c r="F326" s="21"/>
      <c r="G326" s="20"/>
      <c r="H326" s="21"/>
      <c r="I326" s="20"/>
      <c r="J326" s="20"/>
      <c r="K326" s="21"/>
      <c r="L326" s="21"/>
      <c r="M326" s="22" t="str">
        <f aca="false">IF($B326="","",$B326+2)</f>
        <v/>
      </c>
      <c r="N326" s="20"/>
      <c r="O326" s="22" t="str">
        <f aca="false">IF($B326="","",$B326+5)</f>
        <v/>
      </c>
      <c r="P326" s="20"/>
      <c r="Q326" s="22" t="str">
        <f aca="false">IF($B326="","",$B326+10)</f>
        <v/>
      </c>
      <c r="R326" s="20"/>
      <c r="S326" s="23" t="str">
        <f aca="true">IF($B326="","",IF(AND($N326="Y",$P326="Y",$R326="Y"),"Done",IF(OR(AND($M326&lt;=TODAY(),$N326&lt;&gt;"Y"),AND($O326&lt;=TODAY(),$P326&lt;&gt;"Y"),AND($Q326&lt;=TODAY(),$R326&lt;&gt;"Y")),"DUE","Scheduled")))</f>
        <v/>
      </c>
      <c r="T326" s="20"/>
      <c r="U326" s="23" t="str">
        <f aca="false">IF($B326="","",IF(OR($T326&lt;=2,$I326="Editorial"),"REDO",""))</f>
        <v/>
      </c>
      <c r="V326" s="18" t="str">
        <f aca="false">IF($S326&lt;&gt;"DUE","",COUNTIF($S$3:$S326,"DUE"))</f>
        <v/>
      </c>
    </row>
    <row r="327" customFormat="false" ht="15" hidden="false" customHeight="false" outlineLevel="0" collapsed="false">
      <c r="A327" s="12" t="str">
        <f aca="false">IF($F327="","",ROW()-2)</f>
        <v/>
      </c>
      <c r="B327" s="19"/>
      <c r="C327" s="20"/>
      <c r="D327" s="21"/>
      <c r="E327" s="21"/>
      <c r="F327" s="21"/>
      <c r="G327" s="20"/>
      <c r="H327" s="21"/>
      <c r="I327" s="20"/>
      <c r="J327" s="20"/>
      <c r="K327" s="21"/>
      <c r="L327" s="21"/>
      <c r="M327" s="22" t="str">
        <f aca="false">IF($B327="","",$B327+2)</f>
        <v/>
      </c>
      <c r="N327" s="20"/>
      <c r="O327" s="22" t="str">
        <f aca="false">IF($B327="","",$B327+5)</f>
        <v/>
      </c>
      <c r="P327" s="20"/>
      <c r="Q327" s="22" t="str">
        <f aca="false">IF($B327="","",$B327+10)</f>
        <v/>
      </c>
      <c r="R327" s="20"/>
      <c r="S327" s="23" t="str">
        <f aca="true">IF($B327="","",IF(AND($N327="Y",$P327="Y",$R327="Y"),"Done",IF(OR(AND($M327&lt;=TODAY(),$N327&lt;&gt;"Y"),AND($O327&lt;=TODAY(),$P327&lt;&gt;"Y"),AND($Q327&lt;=TODAY(),$R327&lt;&gt;"Y")),"DUE","Scheduled")))</f>
        <v/>
      </c>
      <c r="T327" s="20"/>
      <c r="U327" s="23" t="str">
        <f aca="false">IF($B327="","",IF(OR($T327&lt;=2,$I327="Editorial"),"REDO",""))</f>
        <v/>
      </c>
      <c r="V327" s="18" t="str">
        <f aca="false">IF($S327&lt;&gt;"DUE","",COUNTIF($S$3:$S327,"DUE"))</f>
        <v/>
      </c>
    </row>
    <row r="328" customFormat="false" ht="15" hidden="false" customHeight="false" outlineLevel="0" collapsed="false">
      <c r="A328" s="12" t="str">
        <f aca="false">IF($F328="","",ROW()-2)</f>
        <v/>
      </c>
      <c r="B328" s="19"/>
      <c r="C328" s="20"/>
      <c r="D328" s="21"/>
      <c r="E328" s="21"/>
      <c r="F328" s="21"/>
      <c r="G328" s="20"/>
      <c r="H328" s="21"/>
      <c r="I328" s="20"/>
      <c r="J328" s="20"/>
      <c r="K328" s="21"/>
      <c r="L328" s="21"/>
      <c r="M328" s="22" t="str">
        <f aca="false">IF($B328="","",$B328+2)</f>
        <v/>
      </c>
      <c r="N328" s="20"/>
      <c r="O328" s="22" t="str">
        <f aca="false">IF($B328="","",$B328+5)</f>
        <v/>
      </c>
      <c r="P328" s="20"/>
      <c r="Q328" s="22" t="str">
        <f aca="false">IF($B328="","",$B328+10)</f>
        <v/>
      </c>
      <c r="R328" s="20"/>
      <c r="S328" s="23" t="str">
        <f aca="true">IF($B328="","",IF(AND($N328="Y",$P328="Y",$R328="Y"),"Done",IF(OR(AND($M328&lt;=TODAY(),$N328&lt;&gt;"Y"),AND($O328&lt;=TODAY(),$P328&lt;&gt;"Y"),AND($Q328&lt;=TODAY(),$R328&lt;&gt;"Y")),"DUE","Scheduled")))</f>
        <v/>
      </c>
      <c r="T328" s="20"/>
      <c r="U328" s="23" t="str">
        <f aca="false">IF($B328="","",IF(OR($T328&lt;=2,$I328="Editorial"),"REDO",""))</f>
        <v/>
      </c>
      <c r="V328" s="18" t="str">
        <f aca="false">IF($S328&lt;&gt;"DUE","",COUNTIF($S$3:$S328,"DUE"))</f>
        <v/>
      </c>
    </row>
    <row r="329" customFormat="false" ht="15" hidden="false" customHeight="false" outlineLevel="0" collapsed="false">
      <c r="A329" s="12" t="str">
        <f aca="false">IF($F329="","",ROW()-2)</f>
        <v/>
      </c>
      <c r="B329" s="19"/>
      <c r="C329" s="20"/>
      <c r="D329" s="21"/>
      <c r="E329" s="21"/>
      <c r="F329" s="21"/>
      <c r="G329" s="20"/>
      <c r="H329" s="21"/>
      <c r="I329" s="20"/>
      <c r="J329" s="20"/>
      <c r="K329" s="21"/>
      <c r="L329" s="21"/>
      <c r="M329" s="22" t="str">
        <f aca="false">IF($B329="","",$B329+2)</f>
        <v/>
      </c>
      <c r="N329" s="20"/>
      <c r="O329" s="22" t="str">
        <f aca="false">IF($B329="","",$B329+5)</f>
        <v/>
      </c>
      <c r="P329" s="20"/>
      <c r="Q329" s="22" t="str">
        <f aca="false">IF($B329="","",$B329+10)</f>
        <v/>
      </c>
      <c r="R329" s="20"/>
      <c r="S329" s="23" t="str">
        <f aca="true">IF($B329="","",IF(AND($N329="Y",$P329="Y",$R329="Y"),"Done",IF(OR(AND($M329&lt;=TODAY(),$N329&lt;&gt;"Y"),AND($O329&lt;=TODAY(),$P329&lt;&gt;"Y"),AND($Q329&lt;=TODAY(),$R329&lt;&gt;"Y")),"DUE","Scheduled")))</f>
        <v/>
      </c>
      <c r="T329" s="20"/>
      <c r="U329" s="23" t="str">
        <f aca="false">IF($B329="","",IF(OR($T329&lt;=2,$I329="Editorial"),"REDO",""))</f>
        <v/>
      </c>
      <c r="V329" s="18" t="str">
        <f aca="false">IF($S329&lt;&gt;"DUE","",COUNTIF($S$3:$S329,"DUE"))</f>
        <v/>
      </c>
    </row>
    <row r="330" customFormat="false" ht="15" hidden="false" customHeight="false" outlineLevel="0" collapsed="false">
      <c r="A330" s="12" t="str">
        <f aca="false">IF($F330="","",ROW()-2)</f>
        <v/>
      </c>
      <c r="B330" s="19"/>
      <c r="C330" s="20"/>
      <c r="D330" s="21"/>
      <c r="E330" s="21"/>
      <c r="F330" s="21"/>
      <c r="G330" s="20"/>
      <c r="H330" s="21"/>
      <c r="I330" s="20"/>
      <c r="J330" s="20"/>
      <c r="K330" s="21"/>
      <c r="L330" s="21"/>
      <c r="M330" s="22" t="str">
        <f aca="false">IF($B330="","",$B330+2)</f>
        <v/>
      </c>
      <c r="N330" s="20"/>
      <c r="O330" s="22" t="str">
        <f aca="false">IF($B330="","",$B330+5)</f>
        <v/>
      </c>
      <c r="P330" s="20"/>
      <c r="Q330" s="22" t="str">
        <f aca="false">IF($B330="","",$B330+10)</f>
        <v/>
      </c>
      <c r="R330" s="20"/>
      <c r="S330" s="23" t="str">
        <f aca="true">IF($B330="","",IF(AND($N330="Y",$P330="Y",$R330="Y"),"Done",IF(OR(AND($M330&lt;=TODAY(),$N330&lt;&gt;"Y"),AND($O330&lt;=TODAY(),$P330&lt;&gt;"Y"),AND($Q330&lt;=TODAY(),$R330&lt;&gt;"Y")),"DUE","Scheduled")))</f>
        <v/>
      </c>
      <c r="T330" s="20"/>
      <c r="U330" s="23" t="str">
        <f aca="false">IF($B330="","",IF(OR($T330&lt;=2,$I330="Editorial"),"REDO",""))</f>
        <v/>
      </c>
      <c r="V330" s="18" t="str">
        <f aca="false">IF($S330&lt;&gt;"DUE","",COUNTIF($S$3:$S330,"DUE"))</f>
        <v/>
      </c>
    </row>
    <row r="331" customFormat="false" ht="15" hidden="false" customHeight="false" outlineLevel="0" collapsed="false">
      <c r="A331" s="12" t="str">
        <f aca="false">IF($F331="","",ROW()-2)</f>
        <v/>
      </c>
      <c r="B331" s="19"/>
      <c r="C331" s="20"/>
      <c r="D331" s="21"/>
      <c r="E331" s="21"/>
      <c r="F331" s="21"/>
      <c r="G331" s="20"/>
      <c r="H331" s="21"/>
      <c r="I331" s="20"/>
      <c r="J331" s="20"/>
      <c r="K331" s="21"/>
      <c r="L331" s="21"/>
      <c r="M331" s="22" t="str">
        <f aca="false">IF($B331="","",$B331+2)</f>
        <v/>
      </c>
      <c r="N331" s="20"/>
      <c r="O331" s="22" t="str">
        <f aca="false">IF($B331="","",$B331+5)</f>
        <v/>
      </c>
      <c r="P331" s="20"/>
      <c r="Q331" s="22" t="str">
        <f aca="false">IF($B331="","",$B331+10)</f>
        <v/>
      </c>
      <c r="R331" s="20"/>
      <c r="S331" s="23" t="str">
        <f aca="true">IF($B331="","",IF(AND($N331="Y",$P331="Y",$R331="Y"),"Done",IF(OR(AND($M331&lt;=TODAY(),$N331&lt;&gt;"Y"),AND($O331&lt;=TODAY(),$P331&lt;&gt;"Y"),AND($Q331&lt;=TODAY(),$R331&lt;&gt;"Y")),"DUE","Scheduled")))</f>
        <v/>
      </c>
      <c r="T331" s="20"/>
      <c r="U331" s="23" t="str">
        <f aca="false">IF($B331="","",IF(OR($T331&lt;=2,$I331="Editorial"),"REDO",""))</f>
        <v/>
      </c>
      <c r="V331" s="18" t="str">
        <f aca="false">IF($S331&lt;&gt;"DUE","",COUNTIF($S$3:$S331,"DUE"))</f>
        <v/>
      </c>
    </row>
    <row r="332" customFormat="false" ht="15" hidden="false" customHeight="false" outlineLevel="0" collapsed="false">
      <c r="A332" s="12" t="str">
        <f aca="false">IF($F332="","",ROW()-2)</f>
        <v/>
      </c>
      <c r="B332" s="19"/>
      <c r="C332" s="20"/>
      <c r="D332" s="21"/>
      <c r="E332" s="21"/>
      <c r="F332" s="21"/>
      <c r="G332" s="20"/>
      <c r="H332" s="21"/>
      <c r="I332" s="20"/>
      <c r="J332" s="20"/>
      <c r="K332" s="21"/>
      <c r="L332" s="21"/>
      <c r="M332" s="22" t="str">
        <f aca="false">IF($B332="","",$B332+2)</f>
        <v/>
      </c>
      <c r="N332" s="20"/>
      <c r="O332" s="22" t="str">
        <f aca="false">IF($B332="","",$B332+5)</f>
        <v/>
      </c>
      <c r="P332" s="20"/>
      <c r="Q332" s="22" t="str">
        <f aca="false">IF($B332="","",$B332+10)</f>
        <v/>
      </c>
      <c r="R332" s="20"/>
      <c r="S332" s="23" t="str">
        <f aca="true">IF($B332="","",IF(AND($N332="Y",$P332="Y",$R332="Y"),"Done",IF(OR(AND($M332&lt;=TODAY(),$N332&lt;&gt;"Y"),AND($O332&lt;=TODAY(),$P332&lt;&gt;"Y"),AND($Q332&lt;=TODAY(),$R332&lt;&gt;"Y")),"DUE","Scheduled")))</f>
        <v/>
      </c>
      <c r="T332" s="20"/>
      <c r="U332" s="23" t="str">
        <f aca="false">IF($B332="","",IF(OR($T332&lt;=2,$I332="Editorial"),"REDO",""))</f>
        <v/>
      </c>
      <c r="V332" s="18" t="str">
        <f aca="false">IF($S332&lt;&gt;"DUE","",COUNTIF($S$3:$S332,"DUE"))</f>
        <v/>
      </c>
    </row>
    <row r="333" customFormat="false" ht="15" hidden="false" customHeight="false" outlineLevel="0" collapsed="false">
      <c r="A333" s="12" t="str">
        <f aca="false">IF($F333="","",ROW()-2)</f>
        <v/>
      </c>
      <c r="B333" s="19"/>
      <c r="C333" s="20"/>
      <c r="D333" s="21"/>
      <c r="E333" s="21"/>
      <c r="F333" s="21"/>
      <c r="G333" s="20"/>
      <c r="H333" s="21"/>
      <c r="I333" s="20"/>
      <c r="J333" s="20"/>
      <c r="K333" s="21"/>
      <c r="L333" s="21"/>
      <c r="M333" s="22" t="str">
        <f aca="false">IF($B333="","",$B333+2)</f>
        <v/>
      </c>
      <c r="N333" s="20"/>
      <c r="O333" s="22" t="str">
        <f aca="false">IF($B333="","",$B333+5)</f>
        <v/>
      </c>
      <c r="P333" s="20"/>
      <c r="Q333" s="22" t="str">
        <f aca="false">IF($B333="","",$B333+10)</f>
        <v/>
      </c>
      <c r="R333" s="20"/>
      <c r="S333" s="23" t="str">
        <f aca="true">IF($B333="","",IF(AND($N333="Y",$P333="Y",$R333="Y"),"Done",IF(OR(AND($M333&lt;=TODAY(),$N333&lt;&gt;"Y"),AND($O333&lt;=TODAY(),$P333&lt;&gt;"Y"),AND($Q333&lt;=TODAY(),$R333&lt;&gt;"Y")),"DUE","Scheduled")))</f>
        <v/>
      </c>
      <c r="T333" s="20"/>
      <c r="U333" s="23" t="str">
        <f aca="false">IF($B333="","",IF(OR($T333&lt;=2,$I333="Editorial"),"REDO",""))</f>
        <v/>
      </c>
      <c r="V333" s="18" t="str">
        <f aca="false">IF($S333&lt;&gt;"DUE","",COUNTIF($S$3:$S333,"DUE"))</f>
        <v/>
      </c>
    </row>
    <row r="334" customFormat="false" ht="15" hidden="false" customHeight="false" outlineLevel="0" collapsed="false">
      <c r="A334" s="12" t="str">
        <f aca="false">IF($F334="","",ROW()-2)</f>
        <v/>
      </c>
      <c r="B334" s="19"/>
      <c r="C334" s="20"/>
      <c r="D334" s="21"/>
      <c r="E334" s="21"/>
      <c r="F334" s="21"/>
      <c r="G334" s="20"/>
      <c r="H334" s="21"/>
      <c r="I334" s="20"/>
      <c r="J334" s="20"/>
      <c r="K334" s="21"/>
      <c r="L334" s="21"/>
      <c r="M334" s="22" t="str">
        <f aca="false">IF($B334="","",$B334+2)</f>
        <v/>
      </c>
      <c r="N334" s="20"/>
      <c r="O334" s="22" t="str">
        <f aca="false">IF($B334="","",$B334+5)</f>
        <v/>
      </c>
      <c r="P334" s="20"/>
      <c r="Q334" s="22" t="str">
        <f aca="false">IF($B334="","",$B334+10)</f>
        <v/>
      </c>
      <c r="R334" s="20"/>
      <c r="S334" s="23" t="str">
        <f aca="true">IF($B334="","",IF(AND($N334="Y",$P334="Y",$R334="Y"),"Done",IF(OR(AND($M334&lt;=TODAY(),$N334&lt;&gt;"Y"),AND($O334&lt;=TODAY(),$P334&lt;&gt;"Y"),AND($Q334&lt;=TODAY(),$R334&lt;&gt;"Y")),"DUE","Scheduled")))</f>
        <v/>
      </c>
      <c r="T334" s="20"/>
      <c r="U334" s="23" t="str">
        <f aca="false">IF($B334="","",IF(OR($T334&lt;=2,$I334="Editorial"),"REDO",""))</f>
        <v/>
      </c>
      <c r="V334" s="18" t="str">
        <f aca="false">IF($S334&lt;&gt;"DUE","",COUNTIF($S$3:$S334,"DUE"))</f>
        <v/>
      </c>
    </row>
    <row r="335" customFormat="false" ht="15" hidden="false" customHeight="false" outlineLevel="0" collapsed="false">
      <c r="A335" s="12" t="str">
        <f aca="false">IF($F335="","",ROW()-2)</f>
        <v/>
      </c>
      <c r="B335" s="19"/>
      <c r="C335" s="20"/>
      <c r="D335" s="21"/>
      <c r="E335" s="21"/>
      <c r="F335" s="21"/>
      <c r="G335" s="20"/>
      <c r="H335" s="21"/>
      <c r="I335" s="20"/>
      <c r="J335" s="20"/>
      <c r="K335" s="21"/>
      <c r="L335" s="21"/>
      <c r="M335" s="22" t="str">
        <f aca="false">IF($B335="","",$B335+2)</f>
        <v/>
      </c>
      <c r="N335" s="20"/>
      <c r="O335" s="22" t="str">
        <f aca="false">IF($B335="","",$B335+5)</f>
        <v/>
      </c>
      <c r="P335" s="20"/>
      <c r="Q335" s="22" t="str">
        <f aca="false">IF($B335="","",$B335+10)</f>
        <v/>
      </c>
      <c r="R335" s="20"/>
      <c r="S335" s="23" t="str">
        <f aca="true">IF($B335="","",IF(AND($N335="Y",$P335="Y",$R335="Y"),"Done",IF(OR(AND($M335&lt;=TODAY(),$N335&lt;&gt;"Y"),AND($O335&lt;=TODAY(),$P335&lt;&gt;"Y"),AND($Q335&lt;=TODAY(),$R335&lt;&gt;"Y")),"DUE","Scheduled")))</f>
        <v/>
      </c>
      <c r="T335" s="20"/>
      <c r="U335" s="23" t="str">
        <f aca="false">IF($B335="","",IF(OR($T335&lt;=2,$I335="Editorial"),"REDO",""))</f>
        <v/>
      </c>
      <c r="V335" s="18" t="str">
        <f aca="false">IF($S335&lt;&gt;"DUE","",COUNTIF($S$3:$S335,"DUE"))</f>
        <v/>
      </c>
    </row>
    <row r="336" customFormat="false" ht="15" hidden="false" customHeight="false" outlineLevel="0" collapsed="false">
      <c r="A336" s="12" t="str">
        <f aca="false">IF($F336="","",ROW()-2)</f>
        <v/>
      </c>
      <c r="B336" s="19"/>
      <c r="C336" s="20"/>
      <c r="D336" s="21"/>
      <c r="E336" s="21"/>
      <c r="F336" s="21"/>
      <c r="G336" s="20"/>
      <c r="H336" s="21"/>
      <c r="I336" s="20"/>
      <c r="J336" s="20"/>
      <c r="K336" s="21"/>
      <c r="L336" s="21"/>
      <c r="M336" s="22" t="str">
        <f aca="false">IF($B336="","",$B336+2)</f>
        <v/>
      </c>
      <c r="N336" s="20"/>
      <c r="O336" s="22" t="str">
        <f aca="false">IF($B336="","",$B336+5)</f>
        <v/>
      </c>
      <c r="P336" s="20"/>
      <c r="Q336" s="22" t="str">
        <f aca="false">IF($B336="","",$B336+10)</f>
        <v/>
      </c>
      <c r="R336" s="20"/>
      <c r="S336" s="23" t="str">
        <f aca="true">IF($B336="","",IF(AND($N336="Y",$P336="Y",$R336="Y"),"Done",IF(OR(AND($M336&lt;=TODAY(),$N336&lt;&gt;"Y"),AND($O336&lt;=TODAY(),$P336&lt;&gt;"Y"),AND($Q336&lt;=TODAY(),$R336&lt;&gt;"Y")),"DUE","Scheduled")))</f>
        <v/>
      </c>
      <c r="T336" s="20"/>
      <c r="U336" s="23" t="str">
        <f aca="false">IF($B336="","",IF(OR($T336&lt;=2,$I336="Editorial"),"REDO",""))</f>
        <v/>
      </c>
      <c r="V336" s="18" t="str">
        <f aca="false">IF($S336&lt;&gt;"DUE","",COUNTIF($S$3:$S336,"DUE"))</f>
        <v/>
      </c>
    </row>
    <row r="337" customFormat="false" ht="15" hidden="false" customHeight="false" outlineLevel="0" collapsed="false">
      <c r="A337" s="12" t="str">
        <f aca="false">IF($F337="","",ROW()-2)</f>
        <v/>
      </c>
      <c r="B337" s="19"/>
      <c r="C337" s="20"/>
      <c r="D337" s="21"/>
      <c r="E337" s="21"/>
      <c r="F337" s="21"/>
      <c r="G337" s="20"/>
      <c r="H337" s="21"/>
      <c r="I337" s="20"/>
      <c r="J337" s="20"/>
      <c r="K337" s="21"/>
      <c r="L337" s="21"/>
      <c r="M337" s="22" t="str">
        <f aca="false">IF($B337="","",$B337+2)</f>
        <v/>
      </c>
      <c r="N337" s="20"/>
      <c r="O337" s="22" t="str">
        <f aca="false">IF($B337="","",$B337+5)</f>
        <v/>
      </c>
      <c r="P337" s="20"/>
      <c r="Q337" s="22" t="str">
        <f aca="false">IF($B337="","",$B337+10)</f>
        <v/>
      </c>
      <c r="R337" s="20"/>
      <c r="S337" s="23" t="str">
        <f aca="true">IF($B337="","",IF(AND($N337="Y",$P337="Y",$R337="Y"),"Done",IF(OR(AND($M337&lt;=TODAY(),$N337&lt;&gt;"Y"),AND($O337&lt;=TODAY(),$P337&lt;&gt;"Y"),AND($Q337&lt;=TODAY(),$R337&lt;&gt;"Y")),"DUE","Scheduled")))</f>
        <v/>
      </c>
      <c r="T337" s="20"/>
      <c r="U337" s="23" t="str">
        <f aca="false">IF($B337="","",IF(OR($T337&lt;=2,$I337="Editorial"),"REDO",""))</f>
        <v/>
      </c>
      <c r="V337" s="18" t="str">
        <f aca="false">IF($S337&lt;&gt;"DUE","",COUNTIF($S$3:$S337,"DUE"))</f>
        <v/>
      </c>
    </row>
    <row r="338" customFormat="false" ht="15" hidden="false" customHeight="false" outlineLevel="0" collapsed="false">
      <c r="A338" s="12" t="str">
        <f aca="false">IF($F338="","",ROW()-2)</f>
        <v/>
      </c>
      <c r="B338" s="19"/>
      <c r="C338" s="20"/>
      <c r="D338" s="21"/>
      <c r="E338" s="21"/>
      <c r="F338" s="21"/>
      <c r="G338" s="20"/>
      <c r="H338" s="21"/>
      <c r="I338" s="20"/>
      <c r="J338" s="20"/>
      <c r="K338" s="21"/>
      <c r="L338" s="21"/>
      <c r="M338" s="22" t="str">
        <f aca="false">IF($B338="","",$B338+2)</f>
        <v/>
      </c>
      <c r="N338" s="20"/>
      <c r="O338" s="22" t="str">
        <f aca="false">IF($B338="","",$B338+5)</f>
        <v/>
      </c>
      <c r="P338" s="20"/>
      <c r="Q338" s="22" t="str">
        <f aca="false">IF($B338="","",$B338+10)</f>
        <v/>
      </c>
      <c r="R338" s="20"/>
      <c r="S338" s="23" t="str">
        <f aca="true">IF($B338="","",IF(AND($N338="Y",$P338="Y",$R338="Y"),"Done",IF(OR(AND($M338&lt;=TODAY(),$N338&lt;&gt;"Y"),AND($O338&lt;=TODAY(),$P338&lt;&gt;"Y"),AND($Q338&lt;=TODAY(),$R338&lt;&gt;"Y")),"DUE","Scheduled")))</f>
        <v/>
      </c>
      <c r="T338" s="20"/>
      <c r="U338" s="23" t="str">
        <f aca="false">IF($B338="","",IF(OR($T338&lt;=2,$I338="Editorial"),"REDO",""))</f>
        <v/>
      </c>
      <c r="V338" s="18" t="str">
        <f aca="false">IF($S338&lt;&gt;"DUE","",COUNTIF($S$3:$S338,"DUE"))</f>
        <v/>
      </c>
    </row>
    <row r="339" customFormat="false" ht="15" hidden="false" customHeight="false" outlineLevel="0" collapsed="false">
      <c r="A339" s="12" t="str">
        <f aca="false">IF($F339="","",ROW()-2)</f>
        <v/>
      </c>
      <c r="B339" s="19"/>
      <c r="C339" s="20"/>
      <c r="D339" s="21"/>
      <c r="E339" s="21"/>
      <c r="F339" s="21"/>
      <c r="G339" s="20"/>
      <c r="H339" s="21"/>
      <c r="I339" s="20"/>
      <c r="J339" s="20"/>
      <c r="K339" s="21"/>
      <c r="L339" s="21"/>
      <c r="M339" s="22" t="str">
        <f aca="false">IF($B339="","",$B339+2)</f>
        <v/>
      </c>
      <c r="N339" s="20"/>
      <c r="O339" s="22" t="str">
        <f aca="false">IF($B339="","",$B339+5)</f>
        <v/>
      </c>
      <c r="P339" s="20"/>
      <c r="Q339" s="22" t="str">
        <f aca="false">IF($B339="","",$B339+10)</f>
        <v/>
      </c>
      <c r="R339" s="20"/>
      <c r="S339" s="23" t="str">
        <f aca="true">IF($B339="","",IF(AND($N339="Y",$P339="Y",$R339="Y"),"Done",IF(OR(AND($M339&lt;=TODAY(),$N339&lt;&gt;"Y"),AND($O339&lt;=TODAY(),$P339&lt;&gt;"Y"),AND($Q339&lt;=TODAY(),$R339&lt;&gt;"Y")),"DUE","Scheduled")))</f>
        <v/>
      </c>
      <c r="T339" s="20"/>
      <c r="U339" s="23" t="str">
        <f aca="false">IF($B339="","",IF(OR($T339&lt;=2,$I339="Editorial"),"REDO",""))</f>
        <v/>
      </c>
      <c r="V339" s="18" t="str">
        <f aca="false">IF($S339&lt;&gt;"DUE","",COUNTIF($S$3:$S339,"DUE"))</f>
        <v/>
      </c>
    </row>
    <row r="340" customFormat="false" ht="15" hidden="false" customHeight="false" outlineLevel="0" collapsed="false">
      <c r="A340" s="12" t="str">
        <f aca="false">IF($F340="","",ROW()-2)</f>
        <v/>
      </c>
      <c r="B340" s="19"/>
      <c r="C340" s="20"/>
      <c r="D340" s="21"/>
      <c r="E340" s="21"/>
      <c r="F340" s="21"/>
      <c r="G340" s="20"/>
      <c r="H340" s="21"/>
      <c r="I340" s="20"/>
      <c r="J340" s="20"/>
      <c r="K340" s="21"/>
      <c r="L340" s="21"/>
      <c r="M340" s="22" t="str">
        <f aca="false">IF($B340="","",$B340+2)</f>
        <v/>
      </c>
      <c r="N340" s="20"/>
      <c r="O340" s="22" t="str">
        <f aca="false">IF($B340="","",$B340+5)</f>
        <v/>
      </c>
      <c r="P340" s="20"/>
      <c r="Q340" s="22" t="str">
        <f aca="false">IF($B340="","",$B340+10)</f>
        <v/>
      </c>
      <c r="R340" s="20"/>
      <c r="S340" s="23" t="str">
        <f aca="true">IF($B340="","",IF(AND($N340="Y",$P340="Y",$R340="Y"),"Done",IF(OR(AND($M340&lt;=TODAY(),$N340&lt;&gt;"Y"),AND($O340&lt;=TODAY(),$P340&lt;&gt;"Y"),AND($Q340&lt;=TODAY(),$R340&lt;&gt;"Y")),"DUE","Scheduled")))</f>
        <v/>
      </c>
      <c r="T340" s="20"/>
      <c r="U340" s="23" t="str">
        <f aca="false">IF($B340="","",IF(OR($T340&lt;=2,$I340="Editorial"),"REDO",""))</f>
        <v/>
      </c>
      <c r="V340" s="18" t="str">
        <f aca="false">IF($S340&lt;&gt;"DUE","",COUNTIF($S$3:$S340,"DUE"))</f>
        <v/>
      </c>
    </row>
    <row r="341" customFormat="false" ht="15" hidden="false" customHeight="false" outlineLevel="0" collapsed="false">
      <c r="A341" s="12" t="str">
        <f aca="false">IF($F341="","",ROW()-2)</f>
        <v/>
      </c>
      <c r="B341" s="19"/>
      <c r="C341" s="20"/>
      <c r="D341" s="21"/>
      <c r="E341" s="21"/>
      <c r="F341" s="21"/>
      <c r="G341" s="20"/>
      <c r="H341" s="21"/>
      <c r="I341" s="20"/>
      <c r="J341" s="20"/>
      <c r="K341" s="21"/>
      <c r="L341" s="21"/>
      <c r="M341" s="22" t="str">
        <f aca="false">IF($B341="","",$B341+2)</f>
        <v/>
      </c>
      <c r="N341" s="20"/>
      <c r="O341" s="22" t="str">
        <f aca="false">IF($B341="","",$B341+5)</f>
        <v/>
      </c>
      <c r="P341" s="20"/>
      <c r="Q341" s="22" t="str">
        <f aca="false">IF($B341="","",$B341+10)</f>
        <v/>
      </c>
      <c r="R341" s="20"/>
      <c r="S341" s="23" t="str">
        <f aca="true">IF($B341="","",IF(AND($N341="Y",$P341="Y",$R341="Y"),"Done",IF(OR(AND($M341&lt;=TODAY(),$N341&lt;&gt;"Y"),AND($O341&lt;=TODAY(),$P341&lt;&gt;"Y"),AND($Q341&lt;=TODAY(),$R341&lt;&gt;"Y")),"DUE","Scheduled")))</f>
        <v/>
      </c>
      <c r="T341" s="20"/>
      <c r="U341" s="23" t="str">
        <f aca="false">IF($B341="","",IF(OR($T341&lt;=2,$I341="Editorial"),"REDO",""))</f>
        <v/>
      </c>
      <c r="V341" s="18" t="str">
        <f aca="false">IF($S341&lt;&gt;"DUE","",COUNTIF($S$3:$S341,"DUE"))</f>
        <v/>
      </c>
    </row>
    <row r="342" customFormat="false" ht="15" hidden="false" customHeight="false" outlineLevel="0" collapsed="false">
      <c r="A342" s="12" t="str">
        <f aca="false">IF($F342="","",ROW()-2)</f>
        <v/>
      </c>
      <c r="B342" s="19"/>
      <c r="C342" s="20"/>
      <c r="D342" s="21"/>
      <c r="E342" s="21"/>
      <c r="F342" s="21"/>
      <c r="G342" s="20"/>
      <c r="H342" s="21"/>
      <c r="I342" s="20"/>
      <c r="J342" s="20"/>
      <c r="K342" s="21"/>
      <c r="L342" s="21"/>
      <c r="M342" s="22" t="str">
        <f aca="false">IF($B342="","",$B342+2)</f>
        <v/>
      </c>
      <c r="N342" s="20"/>
      <c r="O342" s="22" t="str">
        <f aca="false">IF($B342="","",$B342+5)</f>
        <v/>
      </c>
      <c r="P342" s="20"/>
      <c r="Q342" s="22" t="str">
        <f aca="false">IF($B342="","",$B342+10)</f>
        <v/>
      </c>
      <c r="R342" s="20"/>
      <c r="S342" s="23" t="str">
        <f aca="true">IF($B342="","",IF(AND($N342="Y",$P342="Y",$R342="Y"),"Done",IF(OR(AND($M342&lt;=TODAY(),$N342&lt;&gt;"Y"),AND($O342&lt;=TODAY(),$P342&lt;&gt;"Y"),AND($Q342&lt;=TODAY(),$R342&lt;&gt;"Y")),"DUE","Scheduled")))</f>
        <v/>
      </c>
      <c r="T342" s="20"/>
      <c r="U342" s="23" t="str">
        <f aca="false">IF($B342="","",IF(OR($T342&lt;=2,$I342="Editorial"),"REDO",""))</f>
        <v/>
      </c>
      <c r="V342" s="18" t="str">
        <f aca="false">IF($S342&lt;&gt;"DUE","",COUNTIF($S$3:$S342,"DUE"))</f>
        <v/>
      </c>
    </row>
    <row r="343" customFormat="false" ht="15" hidden="false" customHeight="false" outlineLevel="0" collapsed="false">
      <c r="A343" s="12" t="str">
        <f aca="false">IF($F343="","",ROW()-2)</f>
        <v/>
      </c>
      <c r="B343" s="19"/>
      <c r="C343" s="20"/>
      <c r="D343" s="21"/>
      <c r="E343" s="21"/>
      <c r="F343" s="21"/>
      <c r="G343" s="20"/>
      <c r="H343" s="21"/>
      <c r="I343" s="20"/>
      <c r="J343" s="20"/>
      <c r="K343" s="21"/>
      <c r="L343" s="21"/>
      <c r="M343" s="22" t="str">
        <f aca="false">IF($B343="","",$B343+2)</f>
        <v/>
      </c>
      <c r="N343" s="20"/>
      <c r="O343" s="22" t="str">
        <f aca="false">IF($B343="","",$B343+5)</f>
        <v/>
      </c>
      <c r="P343" s="20"/>
      <c r="Q343" s="22" t="str">
        <f aca="false">IF($B343="","",$B343+10)</f>
        <v/>
      </c>
      <c r="R343" s="20"/>
      <c r="S343" s="23" t="str">
        <f aca="true">IF($B343="","",IF(AND($N343="Y",$P343="Y",$R343="Y"),"Done",IF(OR(AND($M343&lt;=TODAY(),$N343&lt;&gt;"Y"),AND($O343&lt;=TODAY(),$P343&lt;&gt;"Y"),AND($Q343&lt;=TODAY(),$R343&lt;&gt;"Y")),"DUE","Scheduled")))</f>
        <v/>
      </c>
      <c r="T343" s="20"/>
      <c r="U343" s="23" t="str">
        <f aca="false">IF($B343="","",IF(OR($T343&lt;=2,$I343="Editorial"),"REDO",""))</f>
        <v/>
      </c>
      <c r="V343" s="18" t="str">
        <f aca="false">IF($S343&lt;&gt;"DUE","",COUNTIF($S$3:$S343,"DUE"))</f>
        <v/>
      </c>
    </row>
    <row r="344" customFormat="false" ht="15" hidden="false" customHeight="false" outlineLevel="0" collapsed="false">
      <c r="A344" s="12" t="str">
        <f aca="false">IF($F344="","",ROW()-2)</f>
        <v/>
      </c>
      <c r="B344" s="19"/>
      <c r="C344" s="20"/>
      <c r="D344" s="21"/>
      <c r="E344" s="21"/>
      <c r="F344" s="21"/>
      <c r="G344" s="20"/>
      <c r="H344" s="21"/>
      <c r="I344" s="20"/>
      <c r="J344" s="20"/>
      <c r="K344" s="21"/>
      <c r="L344" s="21"/>
      <c r="M344" s="22" t="str">
        <f aca="false">IF($B344="","",$B344+2)</f>
        <v/>
      </c>
      <c r="N344" s="20"/>
      <c r="O344" s="22" t="str">
        <f aca="false">IF($B344="","",$B344+5)</f>
        <v/>
      </c>
      <c r="P344" s="20"/>
      <c r="Q344" s="22" t="str">
        <f aca="false">IF($B344="","",$B344+10)</f>
        <v/>
      </c>
      <c r="R344" s="20"/>
      <c r="S344" s="23" t="str">
        <f aca="true">IF($B344="","",IF(AND($N344="Y",$P344="Y",$R344="Y"),"Done",IF(OR(AND($M344&lt;=TODAY(),$N344&lt;&gt;"Y"),AND($O344&lt;=TODAY(),$P344&lt;&gt;"Y"),AND($Q344&lt;=TODAY(),$R344&lt;&gt;"Y")),"DUE","Scheduled")))</f>
        <v/>
      </c>
      <c r="T344" s="20"/>
      <c r="U344" s="23" t="str">
        <f aca="false">IF($B344="","",IF(OR($T344&lt;=2,$I344="Editorial"),"REDO",""))</f>
        <v/>
      </c>
      <c r="V344" s="18" t="str">
        <f aca="false">IF($S344&lt;&gt;"DUE","",COUNTIF($S$3:$S344,"DUE"))</f>
        <v/>
      </c>
    </row>
    <row r="345" customFormat="false" ht="15" hidden="false" customHeight="false" outlineLevel="0" collapsed="false">
      <c r="A345" s="12" t="str">
        <f aca="false">IF($F345="","",ROW()-2)</f>
        <v/>
      </c>
      <c r="B345" s="19"/>
      <c r="C345" s="20"/>
      <c r="D345" s="21"/>
      <c r="E345" s="21"/>
      <c r="F345" s="21"/>
      <c r="G345" s="20"/>
      <c r="H345" s="21"/>
      <c r="I345" s="20"/>
      <c r="J345" s="20"/>
      <c r="K345" s="21"/>
      <c r="L345" s="21"/>
      <c r="M345" s="22" t="str">
        <f aca="false">IF($B345="","",$B345+2)</f>
        <v/>
      </c>
      <c r="N345" s="20"/>
      <c r="O345" s="22" t="str">
        <f aca="false">IF($B345="","",$B345+5)</f>
        <v/>
      </c>
      <c r="P345" s="20"/>
      <c r="Q345" s="22" t="str">
        <f aca="false">IF($B345="","",$B345+10)</f>
        <v/>
      </c>
      <c r="R345" s="20"/>
      <c r="S345" s="23" t="str">
        <f aca="true">IF($B345="","",IF(AND($N345="Y",$P345="Y",$R345="Y"),"Done",IF(OR(AND($M345&lt;=TODAY(),$N345&lt;&gt;"Y"),AND($O345&lt;=TODAY(),$P345&lt;&gt;"Y"),AND($Q345&lt;=TODAY(),$R345&lt;&gt;"Y")),"DUE","Scheduled")))</f>
        <v/>
      </c>
      <c r="T345" s="20"/>
      <c r="U345" s="23" t="str">
        <f aca="false">IF($B345="","",IF(OR($T345&lt;=2,$I345="Editorial"),"REDO",""))</f>
        <v/>
      </c>
      <c r="V345" s="18" t="str">
        <f aca="false">IF($S345&lt;&gt;"DUE","",COUNTIF($S$3:$S345,"DUE"))</f>
        <v/>
      </c>
    </row>
    <row r="346" customFormat="false" ht="15" hidden="false" customHeight="false" outlineLevel="0" collapsed="false">
      <c r="A346" s="12" t="str">
        <f aca="false">IF($F346="","",ROW()-2)</f>
        <v/>
      </c>
      <c r="B346" s="19"/>
      <c r="C346" s="20"/>
      <c r="D346" s="21"/>
      <c r="E346" s="21"/>
      <c r="F346" s="21"/>
      <c r="G346" s="20"/>
      <c r="H346" s="21"/>
      <c r="I346" s="20"/>
      <c r="J346" s="20"/>
      <c r="K346" s="21"/>
      <c r="L346" s="21"/>
      <c r="M346" s="22" t="str">
        <f aca="false">IF($B346="","",$B346+2)</f>
        <v/>
      </c>
      <c r="N346" s="20"/>
      <c r="O346" s="22" t="str">
        <f aca="false">IF($B346="","",$B346+5)</f>
        <v/>
      </c>
      <c r="P346" s="20"/>
      <c r="Q346" s="22" t="str">
        <f aca="false">IF($B346="","",$B346+10)</f>
        <v/>
      </c>
      <c r="R346" s="20"/>
      <c r="S346" s="23" t="str">
        <f aca="true">IF($B346="","",IF(AND($N346="Y",$P346="Y",$R346="Y"),"Done",IF(OR(AND($M346&lt;=TODAY(),$N346&lt;&gt;"Y"),AND($O346&lt;=TODAY(),$P346&lt;&gt;"Y"),AND($Q346&lt;=TODAY(),$R346&lt;&gt;"Y")),"DUE","Scheduled")))</f>
        <v/>
      </c>
      <c r="T346" s="20"/>
      <c r="U346" s="23" t="str">
        <f aca="false">IF($B346="","",IF(OR($T346&lt;=2,$I346="Editorial"),"REDO",""))</f>
        <v/>
      </c>
      <c r="V346" s="18" t="str">
        <f aca="false">IF($S346&lt;&gt;"DUE","",COUNTIF($S$3:$S346,"DUE"))</f>
        <v/>
      </c>
    </row>
    <row r="347" customFormat="false" ht="15" hidden="false" customHeight="false" outlineLevel="0" collapsed="false">
      <c r="A347" s="12" t="str">
        <f aca="false">IF($F347="","",ROW()-2)</f>
        <v/>
      </c>
      <c r="B347" s="19"/>
      <c r="C347" s="20"/>
      <c r="D347" s="21"/>
      <c r="E347" s="21"/>
      <c r="F347" s="21"/>
      <c r="G347" s="20"/>
      <c r="H347" s="21"/>
      <c r="I347" s="20"/>
      <c r="J347" s="20"/>
      <c r="K347" s="21"/>
      <c r="L347" s="21"/>
      <c r="M347" s="22" t="str">
        <f aca="false">IF($B347="","",$B347+2)</f>
        <v/>
      </c>
      <c r="N347" s="20"/>
      <c r="O347" s="22" t="str">
        <f aca="false">IF($B347="","",$B347+5)</f>
        <v/>
      </c>
      <c r="P347" s="20"/>
      <c r="Q347" s="22" t="str">
        <f aca="false">IF($B347="","",$B347+10)</f>
        <v/>
      </c>
      <c r="R347" s="20"/>
      <c r="S347" s="23" t="str">
        <f aca="true">IF($B347="","",IF(AND($N347="Y",$P347="Y",$R347="Y"),"Done",IF(OR(AND($M347&lt;=TODAY(),$N347&lt;&gt;"Y"),AND($O347&lt;=TODAY(),$P347&lt;&gt;"Y"),AND($Q347&lt;=TODAY(),$R347&lt;&gt;"Y")),"DUE","Scheduled")))</f>
        <v/>
      </c>
      <c r="T347" s="20"/>
      <c r="U347" s="23" t="str">
        <f aca="false">IF($B347="","",IF(OR($T347&lt;=2,$I347="Editorial"),"REDO",""))</f>
        <v/>
      </c>
      <c r="V347" s="18" t="str">
        <f aca="false">IF($S347&lt;&gt;"DUE","",COUNTIF($S$3:$S347,"DUE"))</f>
        <v/>
      </c>
    </row>
    <row r="348" customFormat="false" ht="15" hidden="false" customHeight="false" outlineLevel="0" collapsed="false">
      <c r="A348" s="12" t="str">
        <f aca="false">IF($F348="","",ROW()-2)</f>
        <v/>
      </c>
      <c r="B348" s="19"/>
      <c r="C348" s="20"/>
      <c r="D348" s="21"/>
      <c r="E348" s="21"/>
      <c r="F348" s="21"/>
      <c r="G348" s="20"/>
      <c r="H348" s="21"/>
      <c r="I348" s="20"/>
      <c r="J348" s="20"/>
      <c r="K348" s="21"/>
      <c r="L348" s="21"/>
      <c r="M348" s="22" t="str">
        <f aca="false">IF($B348="","",$B348+2)</f>
        <v/>
      </c>
      <c r="N348" s="20"/>
      <c r="O348" s="22" t="str">
        <f aca="false">IF($B348="","",$B348+5)</f>
        <v/>
      </c>
      <c r="P348" s="20"/>
      <c r="Q348" s="22" t="str">
        <f aca="false">IF($B348="","",$B348+10)</f>
        <v/>
      </c>
      <c r="R348" s="20"/>
      <c r="S348" s="23" t="str">
        <f aca="true">IF($B348="","",IF(AND($N348="Y",$P348="Y",$R348="Y"),"Done",IF(OR(AND($M348&lt;=TODAY(),$N348&lt;&gt;"Y"),AND($O348&lt;=TODAY(),$P348&lt;&gt;"Y"),AND($Q348&lt;=TODAY(),$R348&lt;&gt;"Y")),"DUE","Scheduled")))</f>
        <v/>
      </c>
      <c r="T348" s="20"/>
      <c r="U348" s="23" t="str">
        <f aca="false">IF($B348="","",IF(OR($T348&lt;=2,$I348="Editorial"),"REDO",""))</f>
        <v/>
      </c>
      <c r="V348" s="18" t="str">
        <f aca="false">IF($S348&lt;&gt;"DUE","",COUNTIF($S$3:$S348,"DUE"))</f>
        <v/>
      </c>
    </row>
    <row r="349" customFormat="false" ht="15" hidden="false" customHeight="false" outlineLevel="0" collapsed="false">
      <c r="A349" s="12" t="str">
        <f aca="false">IF($F349="","",ROW()-2)</f>
        <v/>
      </c>
      <c r="B349" s="19"/>
      <c r="C349" s="20"/>
      <c r="D349" s="21"/>
      <c r="E349" s="21"/>
      <c r="F349" s="21"/>
      <c r="G349" s="20"/>
      <c r="H349" s="21"/>
      <c r="I349" s="20"/>
      <c r="J349" s="20"/>
      <c r="K349" s="21"/>
      <c r="L349" s="21"/>
      <c r="M349" s="22" t="str">
        <f aca="false">IF($B349="","",$B349+2)</f>
        <v/>
      </c>
      <c r="N349" s="20"/>
      <c r="O349" s="22" t="str">
        <f aca="false">IF($B349="","",$B349+5)</f>
        <v/>
      </c>
      <c r="P349" s="20"/>
      <c r="Q349" s="22" t="str">
        <f aca="false">IF($B349="","",$B349+10)</f>
        <v/>
      </c>
      <c r="R349" s="20"/>
      <c r="S349" s="23" t="str">
        <f aca="true">IF($B349="","",IF(AND($N349="Y",$P349="Y",$R349="Y"),"Done",IF(OR(AND($M349&lt;=TODAY(),$N349&lt;&gt;"Y"),AND($O349&lt;=TODAY(),$P349&lt;&gt;"Y"),AND($Q349&lt;=TODAY(),$R349&lt;&gt;"Y")),"DUE","Scheduled")))</f>
        <v/>
      </c>
      <c r="T349" s="20"/>
      <c r="U349" s="23" t="str">
        <f aca="false">IF($B349="","",IF(OR($T349&lt;=2,$I349="Editorial"),"REDO",""))</f>
        <v/>
      </c>
      <c r="V349" s="18" t="str">
        <f aca="false">IF($S349&lt;&gt;"DUE","",COUNTIF($S$3:$S349,"DUE"))</f>
        <v/>
      </c>
    </row>
    <row r="350" customFormat="false" ht="15" hidden="false" customHeight="false" outlineLevel="0" collapsed="false">
      <c r="A350" s="12" t="str">
        <f aca="false">IF($F350="","",ROW()-2)</f>
        <v/>
      </c>
      <c r="B350" s="19"/>
      <c r="C350" s="20"/>
      <c r="D350" s="21"/>
      <c r="E350" s="21"/>
      <c r="F350" s="21"/>
      <c r="G350" s="20"/>
      <c r="H350" s="21"/>
      <c r="I350" s="20"/>
      <c r="J350" s="20"/>
      <c r="K350" s="21"/>
      <c r="L350" s="21"/>
      <c r="M350" s="22" t="str">
        <f aca="false">IF($B350="","",$B350+2)</f>
        <v/>
      </c>
      <c r="N350" s="20"/>
      <c r="O350" s="22" t="str">
        <f aca="false">IF($B350="","",$B350+5)</f>
        <v/>
      </c>
      <c r="P350" s="20"/>
      <c r="Q350" s="22" t="str">
        <f aca="false">IF($B350="","",$B350+10)</f>
        <v/>
      </c>
      <c r="R350" s="20"/>
      <c r="S350" s="23" t="str">
        <f aca="true">IF($B350="","",IF(AND($N350="Y",$P350="Y",$R350="Y"),"Done",IF(OR(AND($M350&lt;=TODAY(),$N350&lt;&gt;"Y"),AND($O350&lt;=TODAY(),$P350&lt;&gt;"Y"),AND($Q350&lt;=TODAY(),$R350&lt;&gt;"Y")),"DUE","Scheduled")))</f>
        <v/>
      </c>
      <c r="T350" s="20"/>
      <c r="U350" s="23" t="str">
        <f aca="false">IF($B350="","",IF(OR($T350&lt;=2,$I350="Editorial"),"REDO",""))</f>
        <v/>
      </c>
      <c r="V350" s="18" t="str">
        <f aca="false">IF($S350&lt;&gt;"DUE","",COUNTIF($S$3:$S350,"DUE"))</f>
        <v/>
      </c>
    </row>
    <row r="351" customFormat="false" ht="15" hidden="false" customHeight="false" outlineLevel="0" collapsed="false">
      <c r="A351" s="12" t="str">
        <f aca="false">IF($F351="","",ROW()-2)</f>
        <v/>
      </c>
      <c r="B351" s="19"/>
      <c r="C351" s="20"/>
      <c r="D351" s="21"/>
      <c r="E351" s="21"/>
      <c r="F351" s="21"/>
      <c r="G351" s="20"/>
      <c r="H351" s="21"/>
      <c r="I351" s="20"/>
      <c r="J351" s="20"/>
      <c r="K351" s="21"/>
      <c r="L351" s="21"/>
      <c r="M351" s="22" t="str">
        <f aca="false">IF($B351="","",$B351+2)</f>
        <v/>
      </c>
      <c r="N351" s="20"/>
      <c r="O351" s="22" t="str">
        <f aca="false">IF($B351="","",$B351+5)</f>
        <v/>
      </c>
      <c r="P351" s="20"/>
      <c r="Q351" s="22" t="str">
        <f aca="false">IF($B351="","",$B351+10)</f>
        <v/>
      </c>
      <c r="R351" s="20"/>
      <c r="S351" s="23" t="str">
        <f aca="true">IF($B351="","",IF(AND($N351="Y",$P351="Y",$R351="Y"),"Done",IF(OR(AND($M351&lt;=TODAY(),$N351&lt;&gt;"Y"),AND($O351&lt;=TODAY(),$P351&lt;&gt;"Y"),AND($Q351&lt;=TODAY(),$R351&lt;&gt;"Y")),"DUE","Scheduled")))</f>
        <v/>
      </c>
      <c r="T351" s="20"/>
      <c r="U351" s="23" t="str">
        <f aca="false">IF($B351="","",IF(OR($T351&lt;=2,$I351="Editorial"),"REDO",""))</f>
        <v/>
      </c>
      <c r="V351" s="18" t="str">
        <f aca="false">IF($S351&lt;&gt;"DUE","",COUNTIF($S$3:$S351,"DUE"))</f>
        <v/>
      </c>
    </row>
    <row r="352" customFormat="false" ht="15" hidden="false" customHeight="false" outlineLevel="0" collapsed="false">
      <c r="A352" s="12" t="str">
        <f aca="false">IF($F352="","",ROW()-2)</f>
        <v/>
      </c>
      <c r="B352" s="19"/>
      <c r="C352" s="20"/>
      <c r="D352" s="21"/>
      <c r="E352" s="21"/>
      <c r="F352" s="21"/>
      <c r="G352" s="20"/>
      <c r="H352" s="21"/>
      <c r="I352" s="20"/>
      <c r="J352" s="20"/>
      <c r="K352" s="21"/>
      <c r="L352" s="21"/>
      <c r="M352" s="22" t="str">
        <f aca="false">IF($B352="","",$B352+2)</f>
        <v/>
      </c>
      <c r="N352" s="20"/>
      <c r="O352" s="22" t="str">
        <f aca="false">IF($B352="","",$B352+5)</f>
        <v/>
      </c>
      <c r="P352" s="20"/>
      <c r="Q352" s="22" t="str">
        <f aca="false">IF($B352="","",$B352+10)</f>
        <v/>
      </c>
      <c r="R352" s="20"/>
      <c r="S352" s="23" t="str">
        <f aca="true">IF($B352="","",IF(AND($N352="Y",$P352="Y",$R352="Y"),"Done",IF(OR(AND($M352&lt;=TODAY(),$N352&lt;&gt;"Y"),AND($O352&lt;=TODAY(),$P352&lt;&gt;"Y"),AND($Q352&lt;=TODAY(),$R352&lt;&gt;"Y")),"DUE","Scheduled")))</f>
        <v/>
      </c>
      <c r="T352" s="20"/>
      <c r="U352" s="23" t="str">
        <f aca="false">IF($B352="","",IF(OR($T352&lt;=2,$I352="Editorial"),"REDO",""))</f>
        <v/>
      </c>
      <c r="V352" s="18" t="str">
        <f aca="false">IF($S352&lt;&gt;"DUE","",COUNTIF($S$3:$S352,"DUE"))</f>
        <v/>
      </c>
    </row>
    <row r="353" customFormat="false" ht="15" hidden="false" customHeight="false" outlineLevel="0" collapsed="false">
      <c r="A353" s="12" t="str">
        <f aca="false">IF($F353="","",ROW()-2)</f>
        <v/>
      </c>
      <c r="B353" s="19"/>
      <c r="C353" s="20"/>
      <c r="D353" s="21"/>
      <c r="E353" s="21"/>
      <c r="F353" s="21"/>
      <c r="G353" s="20"/>
      <c r="H353" s="21"/>
      <c r="I353" s="20"/>
      <c r="J353" s="20"/>
      <c r="K353" s="21"/>
      <c r="L353" s="21"/>
      <c r="M353" s="22" t="str">
        <f aca="false">IF($B353="","",$B353+2)</f>
        <v/>
      </c>
      <c r="N353" s="20"/>
      <c r="O353" s="22" t="str">
        <f aca="false">IF($B353="","",$B353+5)</f>
        <v/>
      </c>
      <c r="P353" s="20"/>
      <c r="Q353" s="22" t="str">
        <f aca="false">IF($B353="","",$B353+10)</f>
        <v/>
      </c>
      <c r="R353" s="20"/>
      <c r="S353" s="23" t="str">
        <f aca="true">IF($B353="","",IF(AND($N353="Y",$P353="Y",$R353="Y"),"Done",IF(OR(AND($M353&lt;=TODAY(),$N353&lt;&gt;"Y"),AND($O353&lt;=TODAY(),$P353&lt;&gt;"Y"),AND($Q353&lt;=TODAY(),$R353&lt;&gt;"Y")),"DUE","Scheduled")))</f>
        <v/>
      </c>
      <c r="T353" s="20"/>
      <c r="U353" s="23" t="str">
        <f aca="false">IF($B353="","",IF(OR($T353&lt;=2,$I353="Editorial"),"REDO",""))</f>
        <v/>
      </c>
      <c r="V353" s="18" t="str">
        <f aca="false">IF($S353&lt;&gt;"DUE","",COUNTIF($S$3:$S353,"DUE"))</f>
        <v/>
      </c>
    </row>
    <row r="354" customFormat="false" ht="15" hidden="false" customHeight="false" outlineLevel="0" collapsed="false">
      <c r="A354" s="12" t="str">
        <f aca="false">IF($F354="","",ROW()-2)</f>
        <v/>
      </c>
      <c r="B354" s="19"/>
      <c r="C354" s="20"/>
      <c r="D354" s="21"/>
      <c r="E354" s="21"/>
      <c r="F354" s="21"/>
      <c r="G354" s="20"/>
      <c r="H354" s="21"/>
      <c r="I354" s="20"/>
      <c r="J354" s="20"/>
      <c r="K354" s="21"/>
      <c r="L354" s="21"/>
      <c r="M354" s="22" t="str">
        <f aca="false">IF($B354="","",$B354+2)</f>
        <v/>
      </c>
      <c r="N354" s="20"/>
      <c r="O354" s="22" t="str">
        <f aca="false">IF($B354="","",$B354+5)</f>
        <v/>
      </c>
      <c r="P354" s="20"/>
      <c r="Q354" s="22" t="str">
        <f aca="false">IF($B354="","",$B354+10)</f>
        <v/>
      </c>
      <c r="R354" s="20"/>
      <c r="S354" s="23" t="str">
        <f aca="true">IF($B354="","",IF(AND($N354="Y",$P354="Y",$R354="Y"),"Done",IF(OR(AND($M354&lt;=TODAY(),$N354&lt;&gt;"Y"),AND($O354&lt;=TODAY(),$P354&lt;&gt;"Y"),AND($Q354&lt;=TODAY(),$R354&lt;&gt;"Y")),"DUE","Scheduled")))</f>
        <v/>
      </c>
      <c r="T354" s="20"/>
      <c r="U354" s="23" t="str">
        <f aca="false">IF($B354="","",IF(OR($T354&lt;=2,$I354="Editorial"),"REDO",""))</f>
        <v/>
      </c>
      <c r="V354" s="18" t="str">
        <f aca="false">IF($S354&lt;&gt;"DUE","",COUNTIF($S$3:$S354,"DUE"))</f>
        <v/>
      </c>
    </row>
    <row r="355" customFormat="false" ht="15" hidden="false" customHeight="false" outlineLevel="0" collapsed="false">
      <c r="A355" s="12" t="str">
        <f aca="false">IF($F355="","",ROW()-2)</f>
        <v/>
      </c>
      <c r="B355" s="19"/>
      <c r="C355" s="20"/>
      <c r="D355" s="21"/>
      <c r="E355" s="21"/>
      <c r="F355" s="21"/>
      <c r="G355" s="20"/>
      <c r="H355" s="21"/>
      <c r="I355" s="20"/>
      <c r="J355" s="20"/>
      <c r="K355" s="21"/>
      <c r="L355" s="21"/>
      <c r="M355" s="22" t="str">
        <f aca="false">IF($B355="","",$B355+2)</f>
        <v/>
      </c>
      <c r="N355" s="20"/>
      <c r="O355" s="22" t="str">
        <f aca="false">IF($B355="","",$B355+5)</f>
        <v/>
      </c>
      <c r="P355" s="20"/>
      <c r="Q355" s="22" t="str">
        <f aca="false">IF($B355="","",$B355+10)</f>
        <v/>
      </c>
      <c r="R355" s="20"/>
      <c r="S355" s="23" t="str">
        <f aca="true">IF($B355="","",IF(AND($N355="Y",$P355="Y",$R355="Y"),"Done",IF(OR(AND($M355&lt;=TODAY(),$N355&lt;&gt;"Y"),AND($O355&lt;=TODAY(),$P355&lt;&gt;"Y"),AND($Q355&lt;=TODAY(),$R355&lt;&gt;"Y")),"DUE","Scheduled")))</f>
        <v/>
      </c>
      <c r="T355" s="20"/>
      <c r="U355" s="23" t="str">
        <f aca="false">IF($B355="","",IF(OR($T355&lt;=2,$I355="Editorial"),"REDO",""))</f>
        <v/>
      </c>
      <c r="V355" s="18" t="str">
        <f aca="false">IF($S355&lt;&gt;"DUE","",COUNTIF($S$3:$S355,"DUE"))</f>
        <v/>
      </c>
    </row>
    <row r="356" customFormat="false" ht="15" hidden="false" customHeight="false" outlineLevel="0" collapsed="false">
      <c r="A356" s="12" t="str">
        <f aca="false">IF($F356="","",ROW()-2)</f>
        <v/>
      </c>
      <c r="B356" s="19"/>
      <c r="C356" s="20"/>
      <c r="D356" s="21"/>
      <c r="E356" s="21"/>
      <c r="F356" s="21"/>
      <c r="G356" s="20"/>
      <c r="H356" s="21"/>
      <c r="I356" s="20"/>
      <c r="J356" s="20"/>
      <c r="K356" s="21"/>
      <c r="L356" s="21"/>
      <c r="M356" s="22" t="str">
        <f aca="false">IF($B356="","",$B356+2)</f>
        <v/>
      </c>
      <c r="N356" s="20"/>
      <c r="O356" s="22" t="str">
        <f aca="false">IF($B356="","",$B356+5)</f>
        <v/>
      </c>
      <c r="P356" s="20"/>
      <c r="Q356" s="22" t="str">
        <f aca="false">IF($B356="","",$B356+10)</f>
        <v/>
      </c>
      <c r="R356" s="20"/>
      <c r="S356" s="23" t="str">
        <f aca="true">IF($B356="","",IF(AND($N356="Y",$P356="Y",$R356="Y"),"Done",IF(OR(AND($M356&lt;=TODAY(),$N356&lt;&gt;"Y"),AND($O356&lt;=TODAY(),$P356&lt;&gt;"Y"),AND($Q356&lt;=TODAY(),$R356&lt;&gt;"Y")),"DUE","Scheduled")))</f>
        <v/>
      </c>
      <c r="T356" s="20"/>
      <c r="U356" s="23" t="str">
        <f aca="false">IF($B356="","",IF(OR($T356&lt;=2,$I356="Editorial"),"REDO",""))</f>
        <v/>
      </c>
      <c r="V356" s="18" t="str">
        <f aca="false">IF($S356&lt;&gt;"DUE","",COUNTIF($S$3:$S356,"DUE"))</f>
        <v/>
      </c>
    </row>
    <row r="357" customFormat="false" ht="15" hidden="false" customHeight="false" outlineLevel="0" collapsed="false">
      <c r="A357" s="12" t="str">
        <f aca="false">IF($F357="","",ROW()-2)</f>
        <v/>
      </c>
      <c r="B357" s="19"/>
      <c r="C357" s="20"/>
      <c r="D357" s="21"/>
      <c r="E357" s="21"/>
      <c r="F357" s="21"/>
      <c r="G357" s="20"/>
      <c r="H357" s="21"/>
      <c r="I357" s="20"/>
      <c r="J357" s="20"/>
      <c r="K357" s="21"/>
      <c r="L357" s="21"/>
      <c r="M357" s="22" t="str">
        <f aca="false">IF($B357="","",$B357+2)</f>
        <v/>
      </c>
      <c r="N357" s="20"/>
      <c r="O357" s="22" t="str">
        <f aca="false">IF($B357="","",$B357+5)</f>
        <v/>
      </c>
      <c r="P357" s="20"/>
      <c r="Q357" s="22" t="str">
        <f aca="false">IF($B357="","",$B357+10)</f>
        <v/>
      </c>
      <c r="R357" s="20"/>
      <c r="S357" s="23" t="str">
        <f aca="true">IF($B357="","",IF(AND($N357="Y",$P357="Y",$R357="Y"),"Done",IF(OR(AND($M357&lt;=TODAY(),$N357&lt;&gt;"Y"),AND($O357&lt;=TODAY(),$P357&lt;&gt;"Y"),AND($Q357&lt;=TODAY(),$R357&lt;&gt;"Y")),"DUE","Scheduled")))</f>
        <v/>
      </c>
      <c r="T357" s="20"/>
      <c r="U357" s="23" t="str">
        <f aca="false">IF($B357="","",IF(OR($T357&lt;=2,$I357="Editorial"),"REDO",""))</f>
        <v/>
      </c>
      <c r="V357" s="18" t="str">
        <f aca="false">IF($S357&lt;&gt;"DUE","",COUNTIF($S$3:$S357,"DUE"))</f>
        <v/>
      </c>
    </row>
    <row r="358" customFormat="false" ht="15" hidden="false" customHeight="false" outlineLevel="0" collapsed="false">
      <c r="A358" s="12" t="str">
        <f aca="false">IF($F358="","",ROW()-2)</f>
        <v/>
      </c>
      <c r="B358" s="19"/>
      <c r="C358" s="20"/>
      <c r="D358" s="21"/>
      <c r="E358" s="21"/>
      <c r="F358" s="21"/>
      <c r="G358" s="20"/>
      <c r="H358" s="21"/>
      <c r="I358" s="20"/>
      <c r="J358" s="20"/>
      <c r="K358" s="21"/>
      <c r="L358" s="21"/>
      <c r="M358" s="22" t="str">
        <f aca="false">IF($B358="","",$B358+2)</f>
        <v/>
      </c>
      <c r="N358" s="20"/>
      <c r="O358" s="22" t="str">
        <f aca="false">IF($B358="","",$B358+5)</f>
        <v/>
      </c>
      <c r="P358" s="20"/>
      <c r="Q358" s="22" t="str">
        <f aca="false">IF($B358="","",$B358+10)</f>
        <v/>
      </c>
      <c r="R358" s="20"/>
      <c r="S358" s="23" t="str">
        <f aca="true">IF($B358="","",IF(AND($N358="Y",$P358="Y",$R358="Y"),"Done",IF(OR(AND($M358&lt;=TODAY(),$N358&lt;&gt;"Y"),AND($O358&lt;=TODAY(),$P358&lt;&gt;"Y"),AND($Q358&lt;=TODAY(),$R358&lt;&gt;"Y")),"DUE","Scheduled")))</f>
        <v/>
      </c>
      <c r="T358" s="20"/>
      <c r="U358" s="23" t="str">
        <f aca="false">IF($B358="","",IF(OR($T358&lt;=2,$I358="Editorial"),"REDO",""))</f>
        <v/>
      </c>
      <c r="V358" s="18" t="str">
        <f aca="false">IF($S358&lt;&gt;"DUE","",COUNTIF($S$3:$S358,"DUE"))</f>
        <v/>
      </c>
    </row>
    <row r="359" customFormat="false" ht="15" hidden="false" customHeight="false" outlineLevel="0" collapsed="false">
      <c r="A359" s="12" t="str">
        <f aca="false">IF($F359="","",ROW()-2)</f>
        <v/>
      </c>
      <c r="B359" s="19"/>
      <c r="C359" s="20"/>
      <c r="D359" s="21"/>
      <c r="E359" s="21"/>
      <c r="F359" s="21"/>
      <c r="G359" s="20"/>
      <c r="H359" s="21"/>
      <c r="I359" s="20"/>
      <c r="J359" s="20"/>
      <c r="K359" s="21"/>
      <c r="L359" s="21"/>
      <c r="M359" s="22" t="str">
        <f aca="false">IF($B359="","",$B359+2)</f>
        <v/>
      </c>
      <c r="N359" s="20"/>
      <c r="O359" s="22" t="str">
        <f aca="false">IF($B359="","",$B359+5)</f>
        <v/>
      </c>
      <c r="P359" s="20"/>
      <c r="Q359" s="22" t="str">
        <f aca="false">IF($B359="","",$B359+10)</f>
        <v/>
      </c>
      <c r="R359" s="20"/>
      <c r="S359" s="23" t="str">
        <f aca="true">IF($B359="","",IF(AND($N359="Y",$P359="Y",$R359="Y"),"Done",IF(OR(AND($M359&lt;=TODAY(),$N359&lt;&gt;"Y"),AND($O359&lt;=TODAY(),$P359&lt;&gt;"Y"),AND($Q359&lt;=TODAY(),$R359&lt;&gt;"Y")),"DUE","Scheduled")))</f>
        <v/>
      </c>
      <c r="T359" s="20"/>
      <c r="U359" s="23" t="str">
        <f aca="false">IF($B359="","",IF(OR($T359&lt;=2,$I359="Editorial"),"REDO",""))</f>
        <v/>
      </c>
      <c r="V359" s="18" t="str">
        <f aca="false">IF($S359&lt;&gt;"DUE","",COUNTIF($S$3:$S359,"DUE"))</f>
        <v/>
      </c>
    </row>
    <row r="360" customFormat="false" ht="15" hidden="false" customHeight="false" outlineLevel="0" collapsed="false">
      <c r="A360" s="12" t="str">
        <f aca="false">IF($F360="","",ROW()-2)</f>
        <v/>
      </c>
      <c r="B360" s="19"/>
      <c r="C360" s="20"/>
      <c r="D360" s="21"/>
      <c r="E360" s="21"/>
      <c r="F360" s="21"/>
      <c r="G360" s="20"/>
      <c r="H360" s="21"/>
      <c r="I360" s="20"/>
      <c r="J360" s="20"/>
      <c r="K360" s="21"/>
      <c r="L360" s="21"/>
      <c r="M360" s="22" t="str">
        <f aca="false">IF($B360="","",$B360+2)</f>
        <v/>
      </c>
      <c r="N360" s="20"/>
      <c r="O360" s="22" t="str">
        <f aca="false">IF($B360="","",$B360+5)</f>
        <v/>
      </c>
      <c r="P360" s="20"/>
      <c r="Q360" s="22" t="str">
        <f aca="false">IF($B360="","",$B360+10)</f>
        <v/>
      </c>
      <c r="R360" s="20"/>
      <c r="S360" s="23" t="str">
        <f aca="true">IF($B360="","",IF(AND($N360="Y",$P360="Y",$R360="Y"),"Done",IF(OR(AND($M360&lt;=TODAY(),$N360&lt;&gt;"Y"),AND($O360&lt;=TODAY(),$P360&lt;&gt;"Y"),AND($Q360&lt;=TODAY(),$R360&lt;&gt;"Y")),"DUE","Scheduled")))</f>
        <v/>
      </c>
      <c r="T360" s="20"/>
      <c r="U360" s="23" t="str">
        <f aca="false">IF($B360="","",IF(OR($T360&lt;=2,$I360="Editorial"),"REDO",""))</f>
        <v/>
      </c>
      <c r="V360" s="18" t="str">
        <f aca="false">IF($S360&lt;&gt;"DUE","",COUNTIF($S$3:$S360,"DUE"))</f>
        <v/>
      </c>
    </row>
    <row r="361" customFormat="false" ht="15" hidden="false" customHeight="false" outlineLevel="0" collapsed="false">
      <c r="A361" s="12" t="str">
        <f aca="false">IF($F361="","",ROW()-2)</f>
        <v/>
      </c>
      <c r="B361" s="19"/>
      <c r="C361" s="20"/>
      <c r="D361" s="21"/>
      <c r="E361" s="21"/>
      <c r="F361" s="21"/>
      <c r="G361" s="20"/>
      <c r="H361" s="21"/>
      <c r="I361" s="20"/>
      <c r="J361" s="20"/>
      <c r="K361" s="21"/>
      <c r="L361" s="21"/>
      <c r="M361" s="22" t="str">
        <f aca="false">IF($B361="","",$B361+2)</f>
        <v/>
      </c>
      <c r="N361" s="20"/>
      <c r="O361" s="22" t="str">
        <f aca="false">IF($B361="","",$B361+5)</f>
        <v/>
      </c>
      <c r="P361" s="20"/>
      <c r="Q361" s="22" t="str">
        <f aca="false">IF($B361="","",$B361+10)</f>
        <v/>
      </c>
      <c r="R361" s="20"/>
      <c r="S361" s="23" t="str">
        <f aca="true">IF($B361="","",IF(AND($N361="Y",$P361="Y",$R361="Y"),"Done",IF(OR(AND($M361&lt;=TODAY(),$N361&lt;&gt;"Y"),AND($O361&lt;=TODAY(),$P361&lt;&gt;"Y"),AND($Q361&lt;=TODAY(),$R361&lt;&gt;"Y")),"DUE","Scheduled")))</f>
        <v/>
      </c>
      <c r="T361" s="20"/>
      <c r="U361" s="23" t="str">
        <f aca="false">IF($B361="","",IF(OR($T361&lt;=2,$I361="Editorial"),"REDO",""))</f>
        <v/>
      </c>
      <c r="V361" s="18" t="str">
        <f aca="false">IF($S361&lt;&gt;"DUE","",COUNTIF($S$3:$S361,"DUE"))</f>
        <v/>
      </c>
    </row>
    <row r="362" customFormat="false" ht="15" hidden="false" customHeight="false" outlineLevel="0" collapsed="false">
      <c r="A362" s="12" t="str">
        <f aca="false">IF($F362="","",ROW()-2)</f>
        <v/>
      </c>
      <c r="B362" s="19"/>
      <c r="C362" s="20"/>
      <c r="D362" s="21"/>
      <c r="E362" s="21"/>
      <c r="F362" s="21"/>
      <c r="G362" s="20"/>
      <c r="H362" s="21"/>
      <c r="I362" s="20"/>
      <c r="J362" s="20"/>
      <c r="K362" s="21"/>
      <c r="L362" s="21"/>
      <c r="M362" s="22" t="str">
        <f aca="false">IF($B362="","",$B362+2)</f>
        <v/>
      </c>
      <c r="N362" s="20"/>
      <c r="O362" s="22" t="str">
        <f aca="false">IF($B362="","",$B362+5)</f>
        <v/>
      </c>
      <c r="P362" s="20"/>
      <c r="Q362" s="22" t="str">
        <f aca="false">IF($B362="","",$B362+10)</f>
        <v/>
      </c>
      <c r="R362" s="20"/>
      <c r="S362" s="23" t="str">
        <f aca="true">IF($B362="","",IF(AND($N362="Y",$P362="Y",$R362="Y"),"Done",IF(OR(AND($M362&lt;=TODAY(),$N362&lt;&gt;"Y"),AND($O362&lt;=TODAY(),$P362&lt;&gt;"Y"),AND($Q362&lt;=TODAY(),$R362&lt;&gt;"Y")),"DUE","Scheduled")))</f>
        <v/>
      </c>
      <c r="T362" s="20"/>
      <c r="U362" s="23" t="str">
        <f aca="false">IF($B362="","",IF(OR($T362&lt;=2,$I362="Editorial"),"REDO",""))</f>
        <v/>
      </c>
      <c r="V362" s="18" t="str">
        <f aca="false">IF($S362&lt;&gt;"DUE","",COUNTIF($S$3:$S362,"DUE"))</f>
        <v/>
      </c>
    </row>
    <row r="363" customFormat="false" ht="15" hidden="false" customHeight="false" outlineLevel="0" collapsed="false">
      <c r="A363" s="12" t="str">
        <f aca="false">IF($F363="","",ROW()-2)</f>
        <v/>
      </c>
      <c r="B363" s="19"/>
      <c r="C363" s="20"/>
      <c r="D363" s="21"/>
      <c r="E363" s="21"/>
      <c r="F363" s="21"/>
      <c r="G363" s="20"/>
      <c r="H363" s="21"/>
      <c r="I363" s="20"/>
      <c r="J363" s="20"/>
      <c r="K363" s="21"/>
      <c r="L363" s="21"/>
      <c r="M363" s="22" t="str">
        <f aca="false">IF($B363="","",$B363+2)</f>
        <v/>
      </c>
      <c r="N363" s="20"/>
      <c r="O363" s="22" t="str">
        <f aca="false">IF($B363="","",$B363+5)</f>
        <v/>
      </c>
      <c r="P363" s="20"/>
      <c r="Q363" s="22" t="str">
        <f aca="false">IF($B363="","",$B363+10)</f>
        <v/>
      </c>
      <c r="R363" s="20"/>
      <c r="S363" s="23" t="str">
        <f aca="true">IF($B363="","",IF(AND($N363="Y",$P363="Y",$R363="Y"),"Done",IF(OR(AND($M363&lt;=TODAY(),$N363&lt;&gt;"Y"),AND($O363&lt;=TODAY(),$P363&lt;&gt;"Y"),AND($Q363&lt;=TODAY(),$R363&lt;&gt;"Y")),"DUE","Scheduled")))</f>
        <v/>
      </c>
      <c r="T363" s="20"/>
      <c r="U363" s="23" t="str">
        <f aca="false">IF($B363="","",IF(OR($T363&lt;=2,$I363="Editorial"),"REDO",""))</f>
        <v/>
      </c>
      <c r="V363" s="18" t="str">
        <f aca="false">IF($S363&lt;&gt;"DUE","",COUNTIF($S$3:$S363,"DUE"))</f>
        <v/>
      </c>
    </row>
    <row r="364" customFormat="false" ht="15" hidden="false" customHeight="false" outlineLevel="0" collapsed="false">
      <c r="A364" s="12" t="str">
        <f aca="false">IF($F364="","",ROW()-2)</f>
        <v/>
      </c>
      <c r="B364" s="19"/>
      <c r="C364" s="20"/>
      <c r="D364" s="21"/>
      <c r="E364" s="21"/>
      <c r="F364" s="21"/>
      <c r="G364" s="20"/>
      <c r="H364" s="21"/>
      <c r="I364" s="20"/>
      <c r="J364" s="20"/>
      <c r="K364" s="21"/>
      <c r="L364" s="21"/>
      <c r="M364" s="22" t="str">
        <f aca="false">IF($B364="","",$B364+2)</f>
        <v/>
      </c>
      <c r="N364" s="20"/>
      <c r="O364" s="22" t="str">
        <f aca="false">IF($B364="","",$B364+5)</f>
        <v/>
      </c>
      <c r="P364" s="20"/>
      <c r="Q364" s="22" t="str">
        <f aca="false">IF($B364="","",$B364+10)</f>
        <v/>
      </c>
      <c r="R364" s="20"/>
      <c r="S364" s="23" t="str">
        <f aca="true">IF($B364="","",IF(AND($N364="Y",$P364="Y",$R364="Y"),"Done",IF(OR(AND($M364&lt;=TODAY(),$N364&lt;&gt;"Y"),AND($O364&lt;=TODAY(),$P364&lt;&gt;"Y"),AND($Q364&lt;=TODAY(),$R364&lt;&gt;"Y")),"DUE","Scheduled")))</f>
        <v/>
      </c>
      <c r="T364" s="20"/>
      <c r="U364" s="23" t="str">
        <f aca="false">IF($B364="","",IF(OR($T364&lt;=2,$I364="Editorial"),"REDO",""))</f>
        <v/>
      </c>
      <c r="V364" s="18" t="str">
        <f aca="false">IF($S364&lt;&gt;"DUE","",COUNTIF($S$3:$S364,"DUE"))</f>
        <v/>
      </c>
    </row>
    <row r="365" customFormat="false" ht="15" hidden="false" customHeight="false" outlineLevel="0" collapsed="false">
      <c r="A365" s="12" t="str">
        <f aca="false">IF($F365="","",ROW()-2)</f>
        <v/>
      </c>
      <c r="B365" s="19"/>
      <c r="C365" s="20"/>
      <c r="D365" s="21"/>
      <c r="E365" s="21"/>
      <c r="F365" s="21"/>
      <c r="G365" s="20"/>
      <c r="H365" s="21"/>
      <c r="I365" s="20"/>
      <c r="J365" s="20"/>
      <c r="K365" s="21"/>
      <c r="L365" s="21"/>
      <c r="M365" s="22" t="str">
        <f aca="false">IF($B365="","",$B365+2)</f>
        <v/>
      </c>
      <c r="N365" s="20"/>
      <c r="O365" s="22" t="str">
        <f aca="false">IF($B365="","",$B365+5)</f>
        <v/>
      </c>
      <c r="P365" s="20"/>
      <c r="Q365" s="22" t="str">
        <f aca="false">IF($B365="","",$B365+10)</f>
        <v/>
      </c>
      <c r="R365" s="20"/>
      <c r="S365" s="23" t="str">
        <f aca="true">IF($B365="","",IF(AND($N365="Y",$P365="Y",$R365="Y"),"Done",IF(OR(AND($M365&lt;=TODAY(),$N365&lt;&gt;"Y"),AND($O365&lt;=TODAY(),$P365&lt;&gt;"Y"),AND($Q365&lt;=TODAY(),$R365&lt;&gt;"Y")),"DUE","Scheduled")))</f>
        <v/>
      </c>
      <c r="T365" s="20"/>
      <c r="U365" s="23" t="str">
        <f aca="false">IF($B365="","",IF(OR($T365&lt;=2,$I365="Editorial"),"REDO",""))</f>
        <v/>
      </c>
      <c r="V365" s="18" t="str">
        <f aca="false">IF($S365&lt;&gt;"DUE","",COUNTIF($S$3:$S365,"DUE"))</f>
        <v/>
      </c>
    </row>
    <row r="366" customFormat="false" ht="15" hidden="false" customHeight="false" outlineLevel="0" collapsed="false">
      <c r="A366" s="12" t="str">
        <f aca="false">IF($F366="","",ROW()-2)</f>
        <v/>
      </c>
      <c r="B366" s="19"/>
      <c r="C366" s="20"/>
      <c r="D366" s="21"/>
      <c r="E366" s="21"/>
      <c r="F366" s="21"/>
      <c r="G366" s="20"/>
      <c r="H366" s="21"/>
      <c r="I366" s="20"/>
      <c r="J366" s="20"/>
      <c r="K366" s="21"/>
      <c r="L366" s="21"/>
      <c r="M366" s="22" t="str">
        <f aca="false">IF($B366="","",$B366+2)</f>
        <v/>
      </c>
      <c r="N366" s="20"/>
      <c r="O366" s="22" t="str">
        <f aca="false">IF($B366="","",$B366+5)</f>
        <v/>
      </c>
      <c r="P366" s="20"/>
      <c r="Q366" s="22" t="str">
        <f aca="false">IF($B366="","",$B366+10)</f>
        <v/>
      </c>
      <c r="R366" s="20"/>
      <c r="S366" s="23" t="str">
        <f aca="true">IF($B366="","",IF(AND($N366="Y",$P366="Y",$R366="Y"),"Done",IF(OR(AND($M366&lt;=TODAY(),$N366&lt;&gt;"Y"),AND($O366&lt;=TODAY(),$P366&lt;&gt;"Y"),AND($Q366&lt;=TODAY(),$R366&lt;&gt;"Y")),"DUE","Scheduled")))</f>
        <v/>
      </c>
      <c r="T366" s="20"/>
      <c r="U366" s="23" t="str">
        <f aca="false">IF($B366="","",IF(OR($T366&lt;=2,$I366="Editorial"),"REDO",""))</f>
        <v/>
      </c>
      <c r="V366" s="18" t="str">
        <f aca="false">IF($S366&lt;&gt;"DUE","",COUNTIF($S$3:$S366,"DUE"))</f>
        <v/>
      </c>
    </row>
    <row r="367" customFormat="false" ht="15" hidden="false" customHeight="false" outlineLevel="0" collapsed="false">
      <c r="A367" s="12" t="str">
        <f aca="false">IF($F367="","",ROW()-2)</f>
        <v/>
      </c>
      <c r="B367" s="19"/>
      <c r="C367" s="20"/>
      <c r="D367" s="21"/>
      <c r="E367" s="21"/>
      <c r="F367" s="21"/>
      <c r="G367" s="20"/>
      <c r="H367" s="21"/>
      <c r="I367" s="20"/>
      <c r="J367" s="20"/>
      <c r="K367" s="21"/>
      <c r="L367" s="21"/>
      <c r="M367" s="22" t="str">
        <f aca="false">IF($B367="","",$B367+2)</f>
        <v/>
      </c>
      <c r="N367" s="20"/>
      <c r="O367" s="22" t="str">
        <f aca="false">IF($B367="","",$B367+5)</f>
        <v/>
      </c>
      <c r="P367" s="20"/>
      <c r="Q367" s="22" t="str">
        <f aca="false">IF($B367="","",$B367+10)</f>
        <v/>
      </c>
      <c r="R367" s="20"/>
      <c r="S367" s="23" t="str">
        <f aca="true">IF($B367="","",IF(AND($N367="Y",$P367="Y",$R367="Y"),"Done",IF(OR(AND($M367&lt;=TODAY(),$N367&lt;&gt;"Y"),AND($O367&lt;=TODAY(),$P367&lt;&gt;"Y"),AND($Q367&lt;=TODAY(),$R367&lt;&gt;"Y")),"DUE","Scheduled")))</f>
        <v/>
      </c>
      <c r="T367" s="20"/>
      <c r="U367" s="23" t="str">
        <f aca="false">IF($B367="","",IF(OR($T367&lt;=2,$I367="Editorial"),"REDO",""))</f>
        <v/>
      </c>
      <c r="V367" s="18" t="str">
        <f aca="false">IF($S367&lt;&gt;"DUE","",COUNTIF($S$3:$S367,"DUE"))</f>
        <v/>
      </c>
    </row>
    <row r="368" customFormat="false" ht="15" hidden="false" customHeight="false" outlineLevel="0" collapsed="false">
      <c r="A368" s="12" t="str">
        <f aca="false">IF($F368="","",ROW()-2)</f>
        <v/>
      </c>
      <c r="B368" s="19"/>
      <c r="C368" s="20"/>
      <c r="D368" s="21"/>
      <c r="E368" s="21"/>
      <c r="F368" s="21"/>
      <c r="G368" s="20"/>
      <c r="H368" s="21"/>
      <c r="I368" s="20"/>
      <c r="J368" s="20"/>
      <c r="K368" s="21"/>
      <c r="L368" s="21"/>
      <c r="M368" s="22" t="str">
        <f aca="false">IF($B368="","",$B368+2)</f>
        <v/>
      </c>
      <c r="N368" s="20"/>
      <c r="O368" s="22" t="str">
        <f aca="false">IF($B368="","",$B368+5)</f>
        <v/>
      </c>
      <c r="P368" s="20"/>
      <c r="Q368" s="22" t="str">
        <f aca="false">IF($B368="","",$B368+10)</f>
        <v/>
      </c>
      <c r="R368" s="20"/>
      <c r="S368" s="23" t="str">
        <f aca="true">IF($B368="","",IF(AND($N368="Y",$P368="Y",$R368="Y"),"Done",IF(OR(AND($M368&lt;=TODAY(),$N368&lt;&gt;"Y"),AND($O368&lt;=TODAY(),$P368&lt;&gt;"Y"),AND($Q368&lt;=TODAY(),$R368&lt;&gt;"Y")),"DUE","Scheduled")))</f>
        <v/>
      </c>
      <c r="T368" s="20"/>
      <c r="U368" s="23" t="str">
        <f aca="false">IF($B368="","",IF(OR($T368&lt;=2,$I368="Editorial"),"REDO",""))</f>
        <v/>
      </c>
      <c r="V368" s="18" t="str">
        <f aca="false">IF($S368&lt;&gt;"DUE","",COUNTIF($S$3:$S368,"DUE"))</f>
        <v/>
      </c>
    </row>
    <row r="369" customFormat="false" ht="15" hidden="false" customHeight="false" outlineLevel="0" collapsed="false">
      <c r="A369" s="12" t="str">
        <f aca="false">IF($F369="","",ROW()-2)</f>
        <v/>
      </c>
      <c r="B369" s="19"/>
      <c r="C369" s="20"/>
      <c r="D369" s="21"/>
      <c r="E369" s="21"/>
      <c r="F369" s="21"/>
      <c r="G369" s="20"/>
      <c r="H369" s="21"/>
      <c r="I369" s="20"/>
      <c r="J369" s="20"/>
      <c r="K369" s="21"/>
      <c r="L369" s="21"/>
      <c r="M369" s="22" t="str">
        <f aca="false">IF($B369="","",$B369+2)</f>
        <v/>
      </c>
      <c r="N369" s="20"/>
      <c r="O369" s="22" t="str">
        <f aca="false">IF($B369="","",$B369+5)</f>
        <v/>
      </c>
      <c r="P369" s="20"/>
      <c r="Q369" s="22" t="str">
        <f aca="false">IF($B369="","",$B369+10)</f>
        <v/>
      </c>
      <c r="R369" s="20"/>
      <c r="S369" s="23" t="str">
        <f aca="true">IF($B369="","",IF(AND($N369="Y",$P369="Y",$R369="Y"),"Done",IF(OR(AND($M369&lt;=TODAY(),$N369&lt;&gt;"Y"),AND($O369&lt;=TODAY(),$P369&lt;&gt;"Y"),AND($Q369&lt;=TODAY(),$R369&lt;&gt;"Y")),"DUE","Scheduled")))</f>
        <v/>
      </c>
      <c r="T369" s="20"/>
      <c r="U369" s="23" t="str">
        <f aca="false">IF($B369="","",IF(OR($T369&lt;=2,$I369="Editorial"),"REDO",""))</f>
        <v/>
      </c>
      <c r="V369" s="18" t="str">
        <f aca="false">IF($S369&lt;&gt;"DUE","",COUNTIF($S$3:$S369,"DUE"))</f>
        <v/>
      </c>
    </row>
    <row r="370" customFormat="false" ht="15" hidden="false" customHeight="false" outlineLevel="0" collapsed="false">
      <c r="A370" s="12" t="str">
        <f aca="false">IF($F370="","",ROW()-2)</f>
        <v/>
      </c>
      <c r="B370" s="19"/>
      <c r="C370" s="20"/>
      <c r="D370" s="21"/>
      <c r="E370" s="21"/>
      <c r="F370" s="21"/>
      <c r="G370" s="20"/>
      <c r="H370" s="21"/>
      <c r="I370" s="20"/>
      <c r="J370" s="20"/>
      <c r="K370" s="21"/>
      <c r="L370" s="21"/>
      <c r="M370" s="22" t="str">
        <f aca="false">IF($B370="","",$B370+2)</f>
        <v/>
      </c>
      <c r="N370" s="20"/>
      <c r="O370" s="22" t="str">
        <f aca="false">IF($B370="","",$B370+5)</f>
        <v/>
      </c>
      <c r="P370" s="20"/>
      <c r="Q370" s="22" t="str">
        <f aca="false">IF($B370="","",$B370+10)</f>
        <v/>
      </c>
      <c r="R370" s="20"/>
      <c r="S370" s="23" t="str">
        <f aca="true">IF($B370="","",IF(AND($N370="Y",$P370="Y",$R370="Y"),"Done",IF(OR(AND($M370&lt;=TODAY(),$N370&lt;&gt;"Y"),AND($O370&lt;=TODAY(),$P370&lt;&gt;"Y"),AND($Q370&lt;=TODAY(),$R370&lt;&gt;"Y")),"DUE","Scheduled")))</f>
        <v/>
      </c>
      <c r="T370" s="20"/>
      <c r="U370" s="23" t="str">
        <f aca="false">IF($B370="","",IF(OR($T370&lt;=2,$I370="Editorial"),"REDO",""))</f>
        <v/>
      </c>
      <c r="V370" s="18" t="str">
        <f aca="false">IF($S370&lt;&gt;"DUE","",COUNTIF($S$3:$S370,"DUE"))</f>
        <v/>
      </c>
    </row>
    <row r="371" customFormat="false" ht="15" hidden="false" customHeight="false" outlineLevel="0" collapsed="false">
      <c r="A371" s="12" t="str">
        <f aca="false">IF($F371="","",ROW()-2)</f>
        <v/>
      </c>
      <c r="B371" s="19"/>
      <c r="C371" s="20"/>
      <c r="D371" s="21"/>
      <c r="E371" s="21"/>
      <c r="F371" s="21"/>
      <c r="G371" s="20"/>
      <c r="H371" s="21"/>
      <c r="I371" s="20"/>
      <c r="J371" s="20"/>
      <c r="K371" s="21"/>
      <c r="L371" s="21"/>
      <c r="M371" s="22" t="str">
        <f aca="false">IF($B371="","",$B371+2)</f>
        <v/>
      </c>
      <c r="N371" s="20"/>
      <c r="O371" s="22" t="str">
        <f aca="false">IF($B371="","",$B371+5)</f>
        <v/>
      </c>
      <c r="P371" s="20"/>
      <c r="Q371" s="22" t="str">
        <f aca="false">IF($B371="","",$B371+10)</f>
        <v/>
      </c>
      <c r="R371" s="20"/>
      <c r="S371" s="23" t="str">
        <f aca="true">IF($B371="","",IF(AND($N371="Y",$P371="Y",$R371="Y"),"Done",IF(OR(AND($M371&lt;=TODAY(),$N371&lt;&gt;"Y"),AND($O371&lt;=TODAY(),$P371&lt;&gt;"Y"),AND($Q371&lt;=TODAY(),$R371&lt;&gt;"Y")),"DUE","Scheduled")))</f>
        <v/>
      </c>
      <c r="T371" s="20"/>
      <c r="U371" s="23" t="str">
        <f aca="false">IF($B371="","",IF(OR($T371&lt;=2,$I371="Editorial"),"REDO",""))</f>
        <v/>
      </c>
      <c r="V371" s="18" t="str">
        <f aca="false">IF($S371&lt;&gt;"DUE","",COUNTIF($S$3:$S371,"DUE"))</f>
        <v/>
      </c>
    </row>
    <row r="372" customFormat="false" ht="15" hidden="false" customHeight="false" outlineLevel="0" collapsed="false">
      <c r="A372" s="12" t="str">
        <f aca="false">IF($F372="","",ROW()-2)</f>
        <v/>
      </c>
      <c r="B372" s="19"/>
      <c r="C372" s="20"/>
      <c r="D372" s="21"/>
      <c r="E372" s="21"/>
      <c r="F372" s="21"/>
      <c r="G372" s="20"/>
      <c r="H372" s="21"/>
      <c r="I372" s="20"/>
      <c r="J372" s="20"/>
      <c r="K372" s="21"/>
      <c r="L372" s="21"/>
      <c r="M372" s="22" t="str">
        <f aca="false">IF($B372="","",$B372+2)</f>
        <v/>
      </c>
      <c r="N372" s="20"/>
      <c r="O372" s="22" t="str">
        <f aca="false">IF($B372="","",$B372+5)</f>
        <v/>
      </c>
      <c r="P372" s="20"/>
      <c r="Q372" s="22" t="str">
        <f aca="false">IF($B372="","",$B372+10)</f>
        <v/>
      </c>
      <c r="R372" s="20"/>
      <c r="S372" s="23" t="str">
        <f aca="true">IF($B372="","",IF(AND($N372="Y",$P372="Y",$R372="Y"),"Done",IF(OR(AND($M372&lt;=TODAY(),$N372&lt;&gt;"Y"),AND($O372&lt;=TODAY(),$P372&lt;&gt;"Y"),AND($Q372&lt;=TODAY(),$R372&lt;&gt;"Y")),"DUE","Scheduled")))</f>
        <v/>
      </c>
      <c r="T372" s="20"/>
      <c r="U372" s="23" t="str">
        <f aca="false">IF($B372="","",IF(OR($T372&lt;=2,$I372="Editorial"),"REDO",""))</f>
        <v/>
      </c>
      <c r="V372" s="18" t="str">
        <f aca="false">IF($S372&lt;&gt;"DUE","",COUNTIF($S$3:$S372,"DUE"))</f>
        <v/>
      </c>
    </row>
    <row r="373" customFormat="false" ht="15" hidden="false" customHeight="false" outlineLevel="0" collapsed="false">
      <c r="A373" s="12" t="str">
        <f aca="false">IF($F373="","",ROW()-2)</f>
        <v/>
      </c>
      <c r="B373" s="19"/>
      <c r="C373" s="20"/>
      <c r="D373" s="21"/>
      <c r="E373" s="21"/>
      <c r="F373" s="21"/>
      <c r="G373" s="20"/>
      <c r="H373" s="21"/>
      <c r="I373" s="20"/>
      <c r="J373" s="20"/>
      <c r="K373" s="21"/>
      <c r="L373" s="21"/>
      <c r="M373" s="22" t="str">
        <f aca="false">IF($B373="","",$B373+2)</f>
        <v/>
      </c>
      <c r="N373" s="20"/>
      <c r="O373" s="22" t="str">
        <f aca="false">IF($B373="","",$B373+5)</f>
        <v/>
      </c>
      <c r="P373" s="20"/>
      <c r="Q373" s="22" t="str">
        <f aca="false">IF($B373="","",$B373+10)</f>
        <v/>
      </c>
      <c r="R373" s="20"/>
      <c r="S373" s="23" t="str">
        <f aca="true">IF($B373="","",IF(AND($N373="Y",$P373="Y",$R373="Y"),"Done",IF(OR(AND($M373&lt;=TODAY(),$N373&lt;&gt;"Y"),AND($O373&lt;=TODAY(),$P373&lt;&gt;"Y"),AND($Q373&lt;=TODAY(),$R373&lt;&gt;"Y")),"DUE","Scheduled")))</f>
        <v/>
      </c>
      <c r="T373" s="20"/>
      <c r="U373" s="23" t="str">
        <f aca="false">IF($B373="","",IF(OR($T373&lt;=2,$I373="Editorial"),"REDO",""))</f>
        <v/>
      </c>
      <c r="V373" s="18" t="str">
        <f aca="false">IF($S373&lt;&gt;"DUE","",COUNTIF($S$3:$S373,"DUE"))</f>
        <v/>
      </c>
    </row>
    <row r="374" customFormat="false" ht="15" hidden="false" customHeight="false" outlineLevel="0" collapsed="false">
      <c r="A374" s="12" t="str">
        <f aca="false">IF($F374="","",ROW()-2)</f>
        <v/>
      </c>
      <c r="B374" s="19"/>
      <c r="C374" s="20"/>
      <c r="D374" s="21"/>
      <c r="E374" s="21"/>
      <c r="F374" s="21"/>
      <c r="G374" s="20"/>
      <c r="H374" s="21"/>
      <c r="I374" s="20"/>
      <c r="J374" s="20"/>
      <c r="K374" s="21"/>
      <c r="L374" s="21"/>
      <c r="M374" s="22" t="str">
        <f aca="false">IF($B374="","",$B374+2)</f>
        <v/>
      </c>
      <c r="N374" s="20"/>
      <c r="O374" s="22" t="str">
        <f aca="false">IF($B374="","",$B374+5)</f>
        <v/>
      </c>
      <c r="P374" s="20"/>
      <c r="Q374" s="22" t="str">
        <f aca="false">IF($B374="","",$B374+10)</f>
        <v/>
      </c>
      <c r="R374" s="20"/>
      <c r="S374" s="23" t="str">
        <f aca="true">IF($B374="","",IF(AND($N374="Y",$P374="Y",$R374="Y"),"Done",IF(OR(AND($M374&lt;=TODAY(),$N374&lt;&gt;"Y"),AND($O374&lt;=TODAY(),$P374&lt;&gt;"Y"),AND($Q374&lt;=TODAY(),$R374&lt;&gt;"Y")),"DUE","Scheduled")))</f>
        <v/>
      </c>
      <c r="T374" s="20"/>
      <c r="U374" s="23" t="str">
        <f aca="false">IF($B374="","",IF(OR($T374&lt;=2,$I374="Editorial"),"REDO",""))</f>
        <v/>
      </c>
      <c r="V374" s="18" t="str">
        <f aca="false">IF($S374&lt;&gt;"DUE","",COUNTIF($S$3:$S374,"DUE"))</f>
        <v/>
      </c>
    </row>
    <row r="375" customFormat="false" ht="15" hidden="false" customHeight="false" outlineLevel="0" collapsed="false">
      <c r="A375" s="12" t="str">
        <f aca="false">IF($F375="","",ROW()-2)</f>
        <v/>
      </c>
      <c r="B375" s="19"/>
      <c r="C375" s="20"/>
      <c r="D375" s="21"/>
      <c r="E375" s="21"/>
      <c r="F375" s="21"/>
      <c r="G375" s="20"/>
      <c r="H375" s="21"/>
      <c r="I375" s="20"/>
      <c r="J375" s="20"/>
      <c r="K375" s="21"/>
      <c r="L375" s="21"/>
      <c r="M375" s="22" t="str">
        <f aca="false">IF($B375="","",$B375+2)</f>
        <v/>
      </c>
      <c r="N375" s="20"/>
      <c r="O375" s="22" t="str">
        <f aca="false">IF($B375="","",$B375+5)</f>
        <v/>
      </c>
      <c r="P375" s="20"/>
      <c r="Q375" s="22" t="str">
        <f aca="false">IF($B375="","",$B375+10)</f>
        <v/>
      </c>
      <c r="R375" s="20"/>
      <c r="S375" s="23" t="str">
        <f aca="true">IF($B375="","",IF(AND($N375="Y",$P375="Y",$R375="Y"),"Done",IF(OR(AND($M375&lt;=TODAY(),$N375&lt;&gt;"Y"),AND($O375&lt;=TODAY(),$P375&lt;&gt;"Y"),AND($Q375&lt;=TODAY(),$R375&lt;&gt;"Y")),"DUE","Scheduled")))</f>
        <v/>
      </c>
      <c r="T375" s="20"/>
      <c r="U375" s="23" t="str">
        <f aca="false">IF($B375="","",IF(OR($T375&lt;=2,$I375="Editorial"),"REDO",""))</f>
        <v/>
      </c>
      <c r="V375" s="18" t="str">
        <f aca="false">IF($S375&lt;&gt;"DUE","",COUNTIF($S$3:$S375,"DUE"))</f>
        <v/>
      </c>
    </row>
    <row r="376" customFormat="false" ht="15" hidden="false" customHeight="false" outlineLevel="0" collapsed="false">
      <c r="A376" s="12" t="str">
        <f aca="false">IF($F376="","",ROW()-2)</f>
        <v/>
      </c>
      <c r="B376" s="19"/>
      <c r="C376" s="20"/>
      <c r="D376" s="21"/>
      <c r="E376" s="21"/>
      <c r="F376" s="21"/>
      <c r="G376" s="20"/>
      <c r="H376" s="21"/>
      <c r="I376" s="20"/>
      <c r="J376" s="20"/>
      <c r="K376" s="21"/>
      <c r="L376" s="21"/>
      <c r="M376" s="22" t="str">
        <f aca="false">IF($B376="","",$B376+2)</f>
        <v/>
      </c>
      <c r="N376" s="20"/>
      <c r="O376" s="22" t="str">
        <f aca="false">IF($B376="","",$B376+5)</f>
        <v/>
      </c>
      <c r="P376" s="20"/>
      <c r="Q376" s="22" t="str">
        <f aca="false">IF($B376="","",$B376+10)</f>
        <v/>
      </c>
      <c r="R376" s="20"/>
      <c r="S376" s="23" t="str">
        <f aca="true">IF($B376="","",IF(AND($N376="Y",$P376="Y",$R376="Y"),"Done",IF(OR(AND($M376&lt;=TODAY(),$N376&lt;&gt;"Y"),AND($O376&lt;=TODAY(),$P376&lt;&gt;"Y"),AND($Q376&lt;=TODAY(),$R376&lt;&gt;"Y")),"DUE","Scheduled")))</f>
        <v/>
      </c>
      <c r="T376" s="20"/>
      <c r="U376" s="23" t="str">
        <f aca="false">IF($B376="","",IF(OR($T376&lt;=2,$I376="Editorial"),"REDO",""))</f>
        <v/>
      </c>
      <c r="V376" s="18" t="str">
        <f aca="false">IF($S376&lt;&gt;"DUE","",COUNTIF($S$3:$S376,"DUE"))</f>
        <v/>
      </c>
    </row>
    <row r="377" customFormat="false" ht="15" hidden="false" customHeight="false" outlineLevel="0" collapsed="false">
      <c r="A377" s="12" t="str">
        <f aca="false">IF($F377="","",ROW()-2)</f>
        <v/>
      </c>
      <c r="B377" s="19"/>
      <c r="C377" s="20"/>
      <c r="D377" s="21"/>
      <c r="E377" s="21"/>
      <c r="F377" s="21"/>
      <c r="G377" s="20"/>
      <c r="H377" s="21"/>
      <c r="I377" s="20"/>
      <c r="J377" s="20"/>
      <c r="K377" s="21"/>
      <c r="L377" s="21"/>
      <c r="M377" s="22" t="str">
        <f aca="false">IF($B377="","",$B377+2)</f>
        <v/>
      </c>
      <c r="N377" s="20"/>
      <c r="O377" s="22" t="str">
        <f aca="false">IF($B377="","",$B377+5)</f>
        <v/>
      </c>
      <c r="P377" s="20"/>
      <c r="Q377" s="22" t="str">
        <f aca="false">IF($B377="","",$B377+10)</f>
        <v/>
      </c>
      <c r="R377" s="20"/>
      <c r="S377" s="23" t="str">
        <f aca="true">IF($B377="","",IF(AND($N377="Y",$P377="Y",$R377="Y"),"Done",IF(OR(AND($M377&lt;=TODAY(),$N377&lt;&gt;"Y"),AND($O377&lt;=TODAY(),$P377&lt;&gt;"Y"),AND($Q377&lt;=TODAY(),$R377&lt;&gt;"Y")),"DUE","Scheduled")))</f>
        <v/>
      </c>
      <c r="T377" s="20"/>
      <c r="U377" s="23" t="str">
        <f aca="false">IF($B377="","",IF(OR($T377&lt;=2,$I377="Editorial"),"REDO",""))</f>
        <v/>
      </c>
      <c r="V377" s="18" t="str">
        <f aca="false">IF($S377&lt;&gt;"DUE","",COUNTIF($S$3:$S377,"DUE"))</f>
        <v/>
      </c>
    </row>
    <row r="378" customFormat="false" ht="15" hidden="false" customHeight="false" outlineLevel="0" collapsed="false">
      <c r="A378" s="12" t="str">
        <f aca="false">IF($F378="","",ROW()-2)</f>
        <v/>
      </c>
      <c r="B378" s="19"/>
      <c r="C378" s="20"/>
      <c r="D378" s="21"/>
      <c r="E378" s="21"/>
      <c r="F378" s="21"/>
      <c r="G378" s="20"/>
      <c r="H378" s="21"/>
      <c r="I378" s="20"/>
      <c r="J378" s="20"/>
      <c r="K378" s="21"/>
      <c r="L378" s="21"/>
      <c r="M378" s="22" t="str">
        <f aca="false">IF($B378="","",$B378+2)</f>
        <v/>
      </c>
      <c r="N378" s="20"/>
      <c r="O378" s="22" t="str">
        <f aca="false">IF($B378="","",$B378+5)</f>
        <v/>
      </c>
      <c r="P378" s="20"/>
      <c r="Q378" s="22" t="str">
        <f aca="false">IF($B378="","",$B378+10)</f>
        <v/>
      </c>
      <c r="R378" s="20"/>
      <c r="S378" s="23" t="str">
        <f aca="true">IF($B378="","",IF(AND($N378="Y",$P378="Y",$R378="Y"),"Done",IF(OR(AND($M378&lt;=TODAY(),$N378&lt;&gt;"Y"),AND($O378&lt;=TODAY(),$P378&lt;&gt;"Y"),AND($Q378&lt;=TODAY(),$R378&lt;&gt;"Y")),"DUE","Scheduled")))</f>
        <v/>
      </c>
      <c r="T378" s="20"/>
      <c r="U378" s="23" t="str">
        <f aca="false">IF($B378="","",IF(OR($T378&lt;=2,$I378="Editorial"),"REDO",""))</f>
        <v/>
      </c>
      <c r="V378" s="18" t="str">
        <f aca="false">IF($S378&lt;&gt;"DUE","",COUNTIF($S$3:$S378,"DUE"))</f>
        <v/>
      </c>
    </row>
    <row r="379" customFormat="false" ht="15" hidden="false" customHeight="false" outlineLevel="0" collapsed="false">
      <c r="A379" s="12" t="str">
        <f aca="false">IF($F379="","",ROW()-2)</f>
        <v/>
      </c>
      <c r="B379" s="19"/>
      <c r="C379" s="20"/>
      <c r="D379" s="21"/>
      <c r="E379" s="21"/>
      <c r="F379" s="21"/>
      <c r="G379" s="20"/>
      <c r="H379" s="21"/>
      <c r="I379" s="20"/>
      <c r="J379" s="20"/>
      <c r="K379" s="21"/>
      <c r="L379" s="21"/>
      <c r="M379" s="22" t="str">
        <f aca="false">IF($B379="","",$B379+2)</f>
        <v/>
      </c>
      <c r="N379" s="20"/>
      <c r="O379" s="22" t="str">
        <f aca="false">IF($B379="","",$B379+5)</f>
        <v/>
      </c>
      <c r="P379" s="20"/>
      <c r="Q379" s="22" t="str">
        <f aca="false">IF($B379="","",$B379+10)</f>
        <v/>
      </c>
      <c r="R379" s="20"/>
      <c r="S379" s="23" t="str">
        <f aca="true">IF($B379="","",IF(AND($N379="Y",$P379="Y",$R379="Y"),"Done",IF(OR(AND($M379&lt;=TODAY(),$N379&lt;&gt;"Y"),AND($O379&lt;=TODAY(),$P379&lt;&gt;"Y"),AND($Q379&lt;=TODAY(),$R379&lt;&gt;"Y")),"DUE","Scheduled")))</f>
        <v/>
      </c>
      <c r="T379" s="20"/>
      <c r="U379" s="23" t="str">
        <f aca="false">IF($B379="","",IF(OR($T379&lt;=2,$I379="Editorial"),"REDO",""))</f>
        <v/>
      </c>
      <c r="V379" s="18" t="str">
        <f aca="false">IF($S379&lt;&gt;"DUE","",COUNTIF($S$3:$S379,"DUE"))</f>
        <v/>
      </c>
    </row>
    <row r="380" customFormat="false" ht="15" hidden="false" customHeight="false" outlineLevel="0" collapsed="false">
      <c r="A380" s="12" t="str">
        <f aca="false">IF($F380="","",ROW()-2)</f>
        <v/>
      </c>
      <c r="B380" s="19"/>
      <c r="C380" s="20"/>
      <c r="D380" s="21"/>
      <c r="E380" s="21"/>
      <c r="F380" s="21"/>
      <c r="G380" s="20"/>
      <c r="H380" s="21"/>
      <c r="I380" s="20"/>
      <c r="J380" s="20"/>
      <c r="K380" s="21"/>
      <c r="L380" s="21"/>
      <c r="M380" s="22" t="str">
        <f aca="false">IF($B380="","",$B380+2)</f>
        <v/>
      </c>
      <c r="N380" s="20"/>
      <c r="O380" s="22" t="str">
        <f aca="false">IF($B380="","",$B380+5)</f>
        <v/>
      </c>
      <c r="P380" s="20"/>
      <c r="Q380" s="22" t="str">
        <f aca="false">IF($B380="","",$B380+10)</f>
        <v/>
      </c>
      <c r="R380" s="20"/>
      <c r="S380" s="23" t="str">
        <f aca="true">IF($B380="","",IF(AND($N380="Y",$P380="Y",$R380="Y"),"Done",IF(OR(AND($M380&lt;=TODAY(),$N380&lt;&gt;"Y"),AND($O380&lt;=TODAY(),$P380&lt;&gt;"Y"),AND($Q380&lt;=TODAY(),$R380&lt;&gt;"Y")),"DUE","Scheduled")))</f>
        <v/>
      </c>
      <c r="T380" s="20"/>
      <c r="U380" s="23" t="str">
        <f aca="false">IF($B380="","",IF(OR($T380&lt;=2,$I380="Editorial"),"REDO",""))</f>
        <v/>
      </c>
      <c r="V380" s="18" t="str">
        <f aca="false">IF($S380&lt;&gt;"DUE","",COUNTIF($S$3:$S380,"DUE"))</f>
        <v/>
      </c>
    </row>
    <row r="381" customFormat="false" ht="15" hidden="false" customHeight="false" outlineLevel="0" collapsed="false">
      <c r="A381" s="12" t="str">
        <f aca="false">IF($F381="","",ROW()-2)</f>
        <v/>
      </c>
      <c r="B381" s="19"/>
      <c r="C381" s="20"/>
      <c r="D381" s="21"/>
      <c r="E381" s="21"/>
      <c r="F381" s="21"/>
      <c r="G381" s="20"/>
      <c r="H381" s="21"/>
      <c r="I381" s="20"/>
      <c r="J381" s="20"/>
      <c r="K381" s="21"/>
      <c r="L381" s="21"/>
      <c r="M381" s="22" t="str">
        <f aca="false">IF($B381="","",$B381+2)</f>
        <v/>
      </c>
      <c r="N381" s="20"/>
      <c r="O381" s="22" t="str">
        <f aca="false">IF($B381="","",$B381+5)</f>
        <v/>
      </c>
      <c r="P381" s="20"/>
      <c r="Q381" s="22" t="str">
        <f aca="false">IF($B381="","",$B381+10)</f>
        <v/>
      </c>
      <c r="R381" s="20"/>
      <c r="S381" s="23" t="str">
        <f aca="true">IF($B381="","",IF(AND($N381="Y",$P381="Y",$R381="Y"),"Done",IF(OR(AND($M381&lt;=TODAY(),$N381&lt;&gt;"Y"),AND($O381&lt;=TODAY(),$P381&lt;&gt;"Y"),AND($Q381&lt;=TODAY(),$R381&lt;&gt;"Y")),"DUE","Scheduled")))</f>
        <v/>
      </c>
      <c r="T381" s="20"/>
      <c r="U381" s="23" t="str">
        <f aca="false">IF($B381="","",IF(OR($T381&lt;=2,$I381="Editorial"),"REDO",""))</f>
        <v/>
      </c>
      <c r="V381" s="18" t="str">
        <f aca="false">IF($S381&lt;&gt;"DUE","",COUNTIF($S$3:$S381,"DUE"))</f>
        <v/>
      </c>
    </row>
    <row r="382" customFormat="false" ht="15" hidden="false" customHeight="false" outlineLevel="0" collapsed="false">
      <c r="A382" s="12" t="str">
        <f aca="false">IF($F382="","",ROW()-2)</f>
        <v/>
      </c>
      <c r="B382" s="19"/>
      <c r="C382" s="20"/>
      <c r="D382" s="21"/>
      <c r="E382" s="21"/>
      <c r="F382" s="21"/>
      <c r="G382" s="20"/>
      <c r="H382" s="21"/>
      <c r="I382" s="20"/>
      <c r="J382" s="20"/>
      <c r="K382" s="21"/>
      <c r="L382" s="21"/>
      <c r="M382" s="22" t="str">
        <f aca="false">IF($B382="","",$B382+2)</f>
        <v/>
      </c>
      <c r="N382" s="20"/>
      <c r="O382" s="22" t="str">
        <f aca="false">IF($B382="","",$B382+5)</f>
        <v/>
      </c>
      <c r="P382" s="20"/>
      <c r="Q382" s="22" t="str">
        <f aca="false">IF($B382="","",$B382+10)</f>
        <v/>
      </c>
      <c r="R382" s="20"/>
      <c r="S382" s="23" t="str">
        <f aca="true">IF($B382="","",IF(AND($N382="Y",$P382="Y",$R382="Y"),"Done",IF(OR(AND($M382&lt;=TODAY(),$N382&lt;&gt;"Y"),AND($O382&lt;=TODAY(),$P382&lt;&gt;"Y"),AND($Q382&lt;=TODAY(),$R382&lt;&gt;"Y")),"DUE","Scheduled")))</f>
        <v/>
      </c>
      <c r="T382" s="20"/>
      <c r="U382" s="23" t="str">
        <f aca="false">IF($B382="","",IF(OR($T382&lt;=2,$I382="Editorial"),"REDO",""))</f>
        <v/>
      </c>
      <c r="V382" s="18" t="str">
        <f aca="false">IF($S382&lt;&gt;"DUE","",COUNTIF($S$3:$S382,"DUE"))</f>
        <v/>
      </c>
    </row>
    <row r="383" customFormat="false" ht="15" hidden="false" customHeight="false" outlineLevel="0" collapsed="false">
      <c r="A383" s="12" t="str">
        <f aca="false">IF($F383="","",ROW()-2)</f>
        <v/>
      </c>
      <c r="B383" s="19"/>
      <c r="C383" s="20"/>
      <c r="D383" s="21"/>
      <c r="E383" s="21"/>
      <c r="F383" s="21"/>
      <c r="G383" s="20"/>
      <c r="H383" s="21"/>
      <c r="I383" s="20"/>
      <c r="J383" s="20"/>
      <c r="K383" s="21"/>
      <c r="L383" s="21"/>
      <c r="M383" s="22" t="str">
        <f aca="false">IF($B383="","",$B383+2)</f>
        <v/>
      </c>
      <c r="N383" s="20"/>
      <c r="O383" s="22" t="str">
        <f aca="false">IF($B383="","",$B383+5)</f>
        <v/>
      </c>
      <c r="P383" s="20"/>
      <c r="Q383" s="22" t="str">
        <f aca="false">IF($B383="","",$B383+10)</f>
        <v/>
      </c>
      <c r="R383" s="20"/>
      <c r="S383" s="23" t="str">
        <f aca="true">IF($B383="","",IF(AND($N383="Y",$P383="Y",$R383="Y"),"Done",IF(OR(AND($M383&lt;=TODAY(),$N383&lt;&gt;"Y"),AND($O383&lt;=TODAY(),$P383&lt;&gt;"Y"),AND($Q383&lt;=TODAY(),$R383&lt;&gt;"Y")),"DUE","Scheduled")))</f>
        <v/>
      </c>
      <c r="T383" s="20"/>
      <c r="U383" s="23" t="str">
        <f aca="false">IF($B383="","",IF(OR($T383&lt;=2,$I383="Editorial"),"REDO",""))</f>
        <v/>
      </c>
      <c r="V383" s="18" t="str">
        <f aca="false">IF($S383&lt;&gt;"DUE","",COUNTIF($S$3:$S383,"DUE"))</f>
        <v/>
      </c>
    </row>
    <row r="384" customFormat="false" ht="15" hidden="false" customHeight="false" outlineLevel="0" collapsed="false">
      <c r="A384" s="12" t="str">
        <f aca="false">IF($F384="","",ROW()-2)</f>
        <v/>
      </c>
      <c r="B384" s="19"/>
      <c r="C384" s="20"/>
      <c r="D384" s="21"/>
      <c r="E384" s="21"/>
      <c r="F384" s="21"/>
      <c r="G384" s="20"/>
      <c r="H384" s="21"/>
      <c r="I384" s="20"/>
      <c r="J384" s="20"/>
      <c r="K384" s="21"/>
      <c r="L384" s="21"/>
      <c r="M384" s="22" t="str">
        <f aca="false">IF($B384="","",$B384+2)</f>
        <v/>
      </c>
      <c r="N384" s="20"/>
      <c r="O384" s="22" t="str">
        <f aca="false">IF($B384="","",$B384+5)</f>
        <v/>
      </c>
      <c r="P384" s="20"/>
      <c r="Q384" s="22" t="str">
        <f aca="false">IF($B384="","",$B384+10)</f>
        <v/>
      </c>
      <c r="R384" s="20"/>
      <c r="S384" s="23" t="str">
        <f aca="true">IF($B384="","",IF(AND($N384="Y",$P384="Y",$R384="Y"),"Done",IF(OR(AND($M384&lt;=TODAY(),$N384&lt;&gt;"Y"),AND($O384&lt;=TODAY(),$P384&lt;&gt;"Y"),AND($Q384&lt;=TODAY(),$R384&lt;&gt;"Y")),"DUE","Scheduled")))</f>
        <v/>
      </c>
      <c r="T384" s="20"/>
      <c r="U384" s="23" t="str">
        <f aca="false">IF($B384="","",IF(OR($T384&lt;=2,$I384="Editorial"),"REDO",""))</f>
        <v/>
      </c>
      <c r="V384" s="18" t="str">
        <f aca="false">IF($S384&lt;&gt;"DUE","",COUNTIF($S$3:$S384,"DUE"))</f>
        <v/>
      </c>
    </row>
    <row r="385" customFormat="false" ht="15" hidden="false" customHeight="false" outlineLevel="0" collapsed="false">
      <c r="A385" s="12" t="str">
        <f aca="false">IF($F385="","",ROW()-2)</f>
        <v/>
      </c>
      <c r="B385" s="19"/>
      <c r="C385" s="20"/>
      <c r="D385" s="21"/>
      <c r="E385" s="21"/>
      <c r="F385" s="21"/>
      <c r="G385" s="20"/>
      <c r="H385" s="21"/>
      <c r="I385" s="20"/>
      <c r="J385" s="20"/>
      <c r="K385" s="21"/>
      <c r="L385" s="21"/>
      <c r="M385" s="22" t="str">
        <f aca="false">IF($B385="","",$B385+2)</f>
        <v/>
      </c>
      <c r="N385" s="20"/>
      <c r="O385" s="22" t="str">
        <f aca="false">IF($B385="","",$B385+5)</f>
        <v/>
      </c>
      <c r="P385" s="20"/>
      <c r="Q385" s="22" t="str">
        <f aca="false">IF($B385="","",$B385+10)</f>
        <v/>
      </c>
      <c r="R385" s="20"/>
      <c r="S385" s="23" t="str">
        <f aca="true">IF($B385="","",IF(AND($N385="Y",$P385="Y",$R385="Y"),"Done",IF(OR(AND($M385&lt;=TODAY(),$N385&lt;&gt;"Y"),AND($O385&lt;=TODAY(),$P385&lt;&gt;"Y"),AND($Q385&lt;=TODAY(),$R385&lt;&gt;"Y")),"DUE","Scheduled")))</f>
        <v/>
      </c>
      <c r="T385" s="20"/>
      <c r="U385" s="23" t="str">
        <f aca="false">IF($B385="","",IF(OR($T385&lt;=2,$I385="Editorial"),"REDO",""))</f>
        <v/>
      </c>
      <c r="V385" s="18" t="str">
        <f aca="false">IF($S385&lt;&gt;"DUE","",COUNTIF($S$3:$S385,"DUE"))</f>
        <v/>
      </c>
    </row>
    <row r="386" customFormat="false" ht="15" hidden="false" customHeight="false" outlineLevel="0" collapsed="false">
      <c r="A386" s="12" t="str">
        <f aca="false">IF($F386="","",ROW()-2)</f>
        <v/>
      </c>
      <c r="B386" s="19"/>
      <c r="C386" s="20"/>
      <c r="D386" s="21"/>
      <c r="E386" s="21"/>
      <c r="F386" s="21"/>
      <c r="G386" s="20"/>
      <c r="H386" s="21"/>
      <c r="I386" s="20"/>
      <c r="J386" s="20"/>
      <c r="K386" s="21"/>
      <c r="L386" s="21"/>
      <c r="M386" s="22" t="str">
        <f aca="false">IF($B386="","",$B386+2)</f>
        <v/>
      </c>
      <c r="N386" s="20"/>
      <c r="O386" s="22" t="str">
        <f aca="false">IF($B386="","",$B386+5)</f>
        <v/>
      </c>
      <c r="P386" s="20"/>
      <c r="Q386" s="22" t="str">
        <f aca="false">IF($B386="","",$B386+10)</f>
        <v/>
      </c>
      <c r="R386" s="20"/>
      <c r="S386" s="23" t="str">
        <f aca="true">IF($B386="","",IF(AND($N386="Y",$P386="Y",$R386="Y"),"Done",IF(OR(AND($M386&lt;=TODAY(),$N386&lt;&gt;"Y"),AND($O386&lt;=TODAY(),$P386&lt;&gt;"Y"),AND($Q386&lt;=TODAY(),$R386&lt;&gt;"Y")),"DUE","Scheduled")))</f>
        <v/>
      </c>
      <c r="T386" s="20"/>
      <c r="U386" s="23" t="str">
        <f aca="false">IF($B386="","",IF(OR($T386&lt;=2,$I386="Editorial"),"REDO",""))</f>
        <v/>
      </c>
      <c r="V386" s="18" t="str">
        <f aca="false">IF($S386&lt;&gt;"DUE","",COUNTIF($S$3:$S386,"DUE"))</f>
        <v/>
      </c>
    </row>
    <row r="387" customFormat="false" ht="15" hidden="false" customHeight="false" outlineLevel="0" collapsed="false">
      <c r="A387" s="12" t="str">
        <f aca="false">IF($F387="","",ROW()-2)</f>
        <v/>
      </c>
      <c r="B387" s="19"/>
      <c r="C387" s="20"/>
      <c r="D387" s="21"/>
      <c r="E387" s="21"/>
      <c r="F387" s="21"/>
      <c r="G387" s="20"/>
      <c r="H387" s="21"/>
      <c r="I387" s="20"/>
      <c r="J387" s="20"/>
      <c r="K387" s="21"/>
      <c r="L387" s="21"/>
      <c r="M387" s="22" t="str">
        <f aca="false">IF($B387="","",$B387+2)</f>
        <v/>
      </c>
      <c r="N387" s="20"/>
      <c r="O387" s="22" t="str">
        <f aca="false">IF($B387="","",$B387+5)</f>
        <v/>
      </c>
      <c r="P387" s="20"/>
      <c r="Q387" s="22" t="str">
        <f aca="false">IF($B387="","",$B387+10)</f>
        <v/>
      </c>
      <c r="R387" s="20"/>
      <c r="S387" s="23" t="str">
        <f aca="true">IF($B387="","",IF(AND($N387="Y",$P387="Y",$R387="Y"),"Done",IF(OR(AND($M387&lt;=TODAY(),$N387&lt;&gt;"Y"),AND($O387&lt;=TODAY(),$P387&lt;&gt;"Y"),AND($Q387&lt;=TODAY(),$R387&lt;&gt;"Y")),"DUE","Scheduled")))</f>
        <v/>
      </c>
      <c r="T387" s="20"/>
      <c r="U387" s="23" t="str">
        <f aca="false">IF($B387="","",IF(OR($T387&lt;=2,$I387="Editorial"),"REDO",""))</f>
        <v/>
      </c>
      <c r="V387" s="18" t="str">
        <f aca="false">IF($S387&lt;&gt;"DUE","",COUNTIF($S$3:$S387,"DUE"))</f>
        <v/>
      </c>
    </row>
    <row r="388" customFormat="false" ht="15" hidden="false" customHeight="false" outlineLevel="0" collapsed="false">
      <c r="A388" s="12" t="str">
        <f aca="false">IF($F388="","",ROW()-2)</f>
        <v/>
      </c>
      <c r="B388" s="19"/>
      <c r="C388" s="20"/>
      <c r="D388" s="21"/>
      <c r="E388" s="21"/>
      <c r="F388" s="21"/>
      <c r="G388" s="20"/>
      <c r="H388" s="21"/>
      <c r="I388" s="20"/>
      <c r="J388" s="20"/>
      <c r="K388" s="21"/>
      <c r="L388" s="21"/>
      <c r="M388" s="22" t="str">
        <f aca="false">IF($B388="","",$B388+2)</f>
        <v/>
      </c>
      <c r="N388" s="20"/>
      <c r="O388" s="22" t="str">
        <f aca="false">IF($B388="","",$B388+5)</f>
        <v/>
      </c>
      <c r="P388" s="20"/>
      <c r="Q388" s="22" t="str">
        <f aca="false">IF($B388="","",$B388+10)</f>
        <v/>
      </c>
      <c r="R388" s="20"/>
      <c r="S388" s="23" t="str">
        <f aca="true">IF($B388="","",IF(AND($N388="Y",$P388="Y",$R388="Y"),"Done",IF(OR(AND($M388&lt;=TODAY(),$N388&lt;&gt;"Y"),AND($O388&lt;=TODAY(),$P388&lt;&gt;"Y"),AND($Q388&lt;=TODAY(),$R388&lt;&gt;"Y")),"DUE","Scheduled")))</f>
        <v/>
      </c>
      <c r="T388" s="20"/>
      <c r="U388" s="23" t="str">
        <f aca="false">IF($B388="","",IF(OR($T388&lt;=2,$I388="Editorial"),"REDO",""))</f>
        <v/>
      </c>
      <c r="V388" s="18" t="str">
        <f aca="false">IF($S388&lt;&gt;"DUE","",COUNTIF($S$3:$S388,"DUE"))</f>
        <v/>
      </c>
    </row>
    <row r="389" customFormat="false" ht="15" hidden="false" customHeight="false" outlineLevel="0" collapsed="false">
      <c r="A389" s="12" t="str">
        <f aca="false">IF($F389="","",ROW()-2)</f>
        <v/>
      </c>
      <c r="B389" s="19"/>
      <c r="C389" s="20"/>
      <c r="D389" s="21"/>
      <c r="E389" s="21"/>
      <c r="F389" s="21"/>
      <c r="G389" s="20"/>
      <c r="H389" s="21"/>
      <c r="I389" s="20"/>
      <c r="J389" s="20"/>
      <c r="K389" s="21"/>
      <c r="L389" s="21"/>
      <c r="M389" s="22" t="str">
        <f aca="false">IF($B389="","",$B389+2)</f>
        <v/>
      </c>
      <c r="N389" s="20"/>
      <c r="O389" s="22" t="str">
        <f aca="false">IF($B389="","",$B389+5)</f>
        <v/>
      </c>
      <c r="P389" s="20"/>
      <c r="Q389" s="22" t="str">
        <f aca="false">IF($B389="","",$B389+10)</f>
        <v/>
      </c>
      <c r="R389" s="20"/>
      <c r="S389" s="23" t="str">
        <f aca="true">IF($B389="","",IF(AND($N389="Y",$P389="Y",$R389="Y"),"Done",IF(OR(AND($M389&lt;=TODAY(),$N389&lt;&gt;"Y"),AND($O389&lt;=TODAY(),$P389&lt;&gt;"Y"),AND($Q389&lt;=TODAY(),$R389&lt;&gt;"Y")),"DUE","Scheduled")))</f>
        <v/>
      </c>
      <c r="T389" s="20"/>
      <c r="U389" s="23" t="str">
        <f aca="false">IF($B389="","",IF(OR($T389&lt;=2,$I389="Editorial"),"REDO",""))</f>
        <v/>
      </c>
      <c r="V389" s="18" t="str">
        <f aca="false">IF($S389&lt;&gt;"DUE","",COUNTIF($S$3:$S389,"DUE"))</f>
        <v/>
      </c>
    </row>
    <row r="390" customFormat="false" ht="15" hidden="false" customHeight="false" outlineLevel="0" collapsed="false">
      <c r="A390" s="12" t="str">
        <f aca="false">IF($F390="","",ROW()-2)</f>
        <v/>
      </c>
      <c r="B390" s="19"/>
      <c r="C390" s="20"/>
      <c r="D390" s="21"/>
      <c r="E390" s="21"/>
      <c r="F390" s="21"/>
      <c r="G390" s="20"/>
      <c r="H390" s="21"/>
      <c r="I390" s="20"/>
      <c r="J390" s="20"/>
      <c r="K390" s="21"/>
      <c r="L390" s="21"/>
      <c r="M390" s="22" t="str">
        <f aca="false">IF($B390="","",$B390+2)</f>
        <v/>
      </c>
      <c r="N390" s="20"/>
      <c r="O390" s="22" t="str">
        <f aca="false">IF($B390="","",$B390+5)</f>
        <v/>
      </c>
      <c r="P390" s="20"/>
      <c r="Q390" s="22" t="str">
        <f aca="false">IF($B390="","",$B390+10)</f>
        <v/>
      </c>
      <c r="R390" s="20"/>
      <c r="S390" s="23" t="str">
        <f aca="true">IF($B390="","",IF(AND($N390="Y",$P390="Y",$R390="Y"),"Done",IF(OR(AND($M390&lt;=TODAY(),$N390&lt;&gt;"Y"),AND($O390&lt;=TODAY(),$P390&lt;&gt;"Y"),AND($Q390&lt;=TODAY(),$R390&lt;&gt;"Y")),"DUE","Scheduled")))</f>
        <v/>
      </c>
      <c r="T390" s="20"/>
      <c r="U390" s="23" t="str">
        <f aca="false">IF($B390="","",IF(OR($T390&lt;=2,$I390="Editorial"),"REDO",""))</f>
        <v/>
      </c>
      <c r="V390" s="18" t="str">
        <f aca="false">IF($S390&lt;&gt;"DUE","",COUNTIF($S$3:$S390,"DUE"))</f>
        <v/>
      </c>
    </row>
    <row r="391" customFormat="false" ht="15" hidden="false" customHeight="false" outlineLevel="0" collapsed="false">
      <c r="A391" s="12" t="str">
        <f aca="false">IF($F391="","",ROW()-2)</f>
        <v/>
      </c>
      <c r="B391" s="19"/>
      <c r="C391" s="20"/>
      <c r="D391" s="21"/>
      <c r="E391" s="21"/>
      <c r="F391" s="21"/>
      <c r="G391" s="20"/>
      <c r="H391" s="21"/>
      <c r="I391" s="20"/>
      <c r="J391" s="20"/>
      <c r="K391" s="21"/>
      <c r="L391" s="21"/>
      <c r="M391" s="22" t="str">
        <f aca="false">IF($B391="","",$B391+2)</f>
        <v/>
      </c>
      <c r="N391" s="20"/>
      <c r="O391" s="22" t="str">
        <f aca="false">IF($B391="","",$B391+5)</f>
        <v/>
      </c>
      <c r="P391" s="20"/>
      <c r="Q391" s="22" t="str">
        <f aca="false">IF($B391="","",$B391+10)</f>
        <v/>
      </c>
      <c r="R391" s="20"/>
      <c r="S391" s="23" t="str">
        <f aca="true">IF($B391="","",IF(AND($N391="Y",$P391="Y",$R391="Y"),"Done",IF(OR(AND($M391&lt;=TODAY(),$N391&lt;&gt;"Y"),AND($O391&lt;=TODAY(),$P391&lt;&gt;"Y"),AND($Q391&lt;=TODAY(),$R391&lt;&gt;"Y")),"DUE","Scheduled")))</f>
        <v/>
      </c>
      <c r="T391" s="20"/>
      <c r="U391" s="23" t="str">
        <f aca="false">IF($B391="","",IF(OR($T391&lt;=2,$I391="Editorial"),"REDO",""))</f>
        <v/>
      </c>
      <c r="V391" s="18" t="str">
        <f aca="false">IF($S391&lt;&gt;"DUE","",COUNTIF($S$3:$S391,"DUE"))</f>
        <v/>
      </c>
    </row>
    <row r="392" customFormat="false" ht="15" hidden="false" customHeight="false" outlineLevel="0" collapsed="false">
      <c r="A392" s="12" t="str">
        <f aca="false">IF($F392="","",ROW()-2)</f>
        <v/>
      </c>
      <c r="B392" s="19"/>
      <c r="C392" s="20"/>
      <c r="D392" s="21"/>
      <c r="E392" s="21"/>
      <c r="F392" s="21"/>
      <c r="G392" s="20"/>
      <c r="H392" s="21"/>
      <c r="I392" s="20"/>
      <c r="J392" s="20"/>
      <c r="K392" s="21"/>
      <c r="L392" s="21"/>
      <c r="M392" s="22" t="str">
        <f aca="false">IF($B392="","",$B392+2)</f>
        <v/>
      </c>
      <c r="N392" s="20"/>
      <c r="O392" s="22" t="str">
        <f aca="false">IF($B392="","",$B392+5)</f>
        <v/>
      </c>
      <c r="P392" s="20"/>
      <c r="Q392" s="22" t="str">
        <f aca="false">IF($B392="","",$B392+10)</f>
        <v/>
      </c>
      <c r="R392" s="20"/>
      <c r="S392" s="23" t="str">
        <f aca="true">IF($B392="","",IF(AND($N392="Y",$P392="Y",$R392="Y"),"Done",IF(OR(AND($M392&lt;=TODAY(),$N392&lt;&gt;"Y"),AND($O392&lt;=TODAY(),$P392&lt;&gt;"Y"),AND($Q392&lt;=TODAY(),$R392&lt;&gt;"Y")),"DUE","Scheduled")))</f>
        <v/>
      </c>
      <c r="T392" s="20"/>
      <c r="U392" s="23" t="str">
        <f aca="false">IF($B392="","",IF(OR($T392&lt;=2,$I392="Editorial"),"REDO",""))</f>
        <v/>
      </c>
      <c r="V392" s="18" t="str">
        <f aca="false">IF($S392&lt;&gt;"DUE","",COUNTIF($S$3:$S392,"DUE"))</f>
        <v/>
      </c>
    </row>
    <row r="393" customFormat="false" ht="15" hidden="false" customHeight="false" outlineLevel="0" collapsed="false">
      <c r="A393" s="12" t="str">
        <f aca="false">IF($F393="","",ROW()-2)</f>
        <v/>
      </c>
      <c r="B393" s="19"/>
      <c r="C393" s="20"/>
      <c r="D393" s="21"/>
      <c r="E393" s="21"/>
      <c r="F393" s="21"/>
      <c r="G393" s="20"/>
      <c r="H393" s="21"/>
      <c r="I393" s="20"/>
      <c r="J393" s="20"/>
      <c r="K393" s="21"/>
      <c r="L393" s="21"/>
      <c r="M393" s="22" t="str">
        <f aca="false">IF($B393="","",$B393+2)</f>
        <v/>
      </c>
      <c r="N393" s="20"/>
      <c r="O393" s="22" t="str">
        <f aca="false">IF($B393="","",$B393+5)</f>
        <v/>
      </c>
      <c r="P393" s="20"/>
      <c r="Q393" s="22" t="str">
        <f aca="false">IF($B393="","",$B393+10)</f>
        <v/>
      </c>
      <c r="R393" s="20"/>
      <c r="S393" s="23" t="str">
        <f aca="true">IF($B393="","",IF(AND($N393="Y",$P393="Y",$R393="Y"),"Done",IF(OR(AND($M393&lt;=TODAY(),$N393&lt;&gt;"Y"),AND($O393&lt;=TODAY(),$P393&lt;&gt;"Y"),AND($Q393&lt;=TODAY(),$R393&lt;&gt;"Y")),"DUE","Scheduled")))</f>
        <v/>
      </c>
      <c r="T393" s="20"/>
      <c r="U393" s="23" t="str">
        <f aca="false">IF($B393="","",IF(OR($T393&lt;=2,$I393="Editorial"),"REDO",""))</f>
        <v/>
      </c>
      <c r="V393" s="18" t="str">
        <f aca="false">IF($S393&lt;&gt;"DUE","",COUNTIF($S$3:$S393,"DUE"))</f>
        <v/>
      </c>
    </row>
    <row r="394" customFormat="false" ht="15" hidden="false" customHeight="false" outlineLevel="0" collapsed="false">
      <c r="A394" s="12" t="str">
        <f aca="false">IF($F394="","",ROW()-2)</f>
        <v/>
      </c>
      <c r="B394" s="19"/>
      <c r="C394" s="20"/>
      <c r="D394" s="21"/>
      <c r="E394" s="21"/>
      <c r="F394" s="21"/>
      <c r="G394" s="20"/>
      <c r="H394" s="21"/>
      <c r="I394" s="20"/>
      <c r="J394" s="20"/>
      <c r="K394" s="21"/>
      <c r="L394" s="21"/>
      <c r="M394" s="22" t="str">
        <f aca="false">IF($B394="","",$B394+2)</f>
        <v/>
      </c>
      <c r="N394" s="20"/>
      <c r="O394" s="22" t="str">
        <f aca="false">IF($B394="","",$B394+5)</f>
        <v/>
      </c>
      <c r="P394" s="20"/>
      <c r="Q394" s="22" t="str">
        <f aca="false">IF($B394="","",$B394+10)</f>
        <v/>
      </c>
      <c r="R394" s="20"/>
      <c r="S394" s="23" t="str">
        <f aca="true">IF($B394="","",IF(AND($N394="Y",$P394="Y",$R394="Y"),"Done",IF(OR(AND($M394&lt;=TODAY(),$N394&lt;&gt;"Y"),AND($O394&lt;=TODAY(),$P394&lt;&gt;"Y"),AND($Q394&lt;=TODAY(),$R394&lt;&gt;"Y")),"DUE","Scheduled")))</f>
        <v/>
      </c>
      <c r="T394" s="20"/>
      <c r="U394" s="23" t="str">
        <f aca="false">IF($B394="","",IF(OR($T394&lt;=2,$I394="Editorial"),"REDO",""))</f>
        <v/>
      </c>
      <c r="V394" s="18" t="str">
        <f aca="false">IF($S394&lt;&gt;"DUE","",COUNTIF($S$3:$S394,"DUE"))</f>
        <v/>
      </c>
    </row>
    <row r="395" customFormat="false" ht="15" hidden="false" customHeight="false" outlineLevel="0" collapsed="false">
      <c r="A395" s="12" t="str">
        <f aca="false">IF($F395="","",ROW()-2)</f>
        <v/>
      </c>
      <c r="B395" s="19"/>
      <c r="C395" s="20"/>
      <c r="D395" s="21"/>
      <c r="E395" s="21"/>
      <c r="F395" s="21"/>
      <c r="G395" s="20"/>
      <c r="H395" s="21"/>
      <c r="I395" s="20"/>
      <c r="J395" s="20"/>
      <c r="K395" s="21"/>
      <c r="L395" s="21"/>
      <c r="M395" s="22" t="str">
        <f aca="false">IF($B395="","",$B395+2)</f>
        <v/>
      </c>
      <c r="N395" s="20"/>
      <c r="O395" s="22" t="str">
        <f aca="false">IF($B395="","",$B395+5)</f>
        <v/>
      </c>
      <c r="P395" s="20"/>
      <c r="Q395" s="22" t="str">
        <f aca="false">IF($B395="","",$B395+10)</f>
        <v/>
      </c>
      <c r="R395" s="20"/>
      <c r="S395" s="23" t="str">
        <f aca="true">IF($B395="","",IF(AND($N395="Y",$P395="Y",$R395="Y"),"Done",IF(OR(AND($M395&lt;=TODAY(),$N395&lt;&gt;"Y"),AND($O395&lt;=TODAY(),$P395&lt;&gt;"Y"),AND($Q395&lt;=TODAY(),$R395&lt;&gt;"Y")),"DUE","Scheduled")))</f>
        <v/>
      </c>
      <c r="T395" s="20"/>
      <c r="U395" s="23" t="str">
        <f aca="false">IF($B395="","",IF(OR($T395&lt;=2,$I395="Editorial"),"REDO",""))</f>
        <v/>
      </c>
      <c r="V395" s="18" t="str">
        <f aca="false">IF($S395&lt;&gt;"DUE","",COUNTIF($S$3:$S395,"DUE"))</f>
        <v/>
      </c>
    </row>
    <row r="396" customFormat="false" ht="15" hidden="false" customHeight="false" outlineLevel="0" collapsed="false">
      <c r="A396" s="12" t="str">
        <f aca="false">IF($F396="","",ROW()-2)</f>
        <v/>
      </c>
      <c r="B396" s="19"/>
      <c r="C396" s="20"/>
      <c r="D396" s="21"/>
      <c r="E396" s="21"/>
      <c r="F396" s="21"/>
      <c r="G396" s="20"/>
      <c r="H396" s="21"/>
      <c r="I396" s="20"/>
      <c r="J396" s="20"/>
      <c r="K396" s="21"/>
      <c r="L396" s="21"/>
      <c r="M396" s="22" t="str">
        <f aca="false">IF($B396="","",$B396+2)</f>
        <v/>
      </c>
      <c r="N396" s="20"/>
      <c r="O396" s="22" t="str">
        <f aca="false">IF($B396="","",$B396+5)</f>
        <v/>
      </c>
      <c r="P396" s="20"/>
      <c r="Q396" s="22" t="str">
        <f aca="false">IF($B396="","",$B396+10)</f>
        <v/>
      </c>
      <c r="R396" s="20"/>
      <c r="S396" s="23" t="str">
        <f aca="true">IF($B396="","",IF(AND($N396="Y",$P396="Y",$R396="Y"),"Done",IF(OR(AND($M396&lt;=TODAY(),$N396&lt;&gt;"Y"),AND($O396&lt;=TODAY(),$P396&lt;&gt;"Y"),AND($Q396&lt;=TODAY(),$R396&lt;&gt;"Y")),"DUE","Scheduled")))</f>
        <v/>
      </c>
      <c r="T396" s="20"/>
      <c r="U396" s="23" t="str">
        <f aca="false">IF($B396="","",IF(OR($T396&lt;=2,$I396="Editorial"),"REDO",""))</f>
        <v/>
      </c>
      <c r="V396" s="18" t="str">
        <f aca="false">IF($S396&lt;&gt;"DUE","",COUNTIF($S$3:$S396,"DUE"))</f>
        <v/>
      </c>
    </row>
    <row r="397" customFormat="false" ht="15" hidden="false" customHeight="false" outlineLevel="0" collapsed="false">
      <c r="A397" s="12" t="str">
        <f aca="false">IF($F397="","",ROW()-2)</f>
        <v/>
      </c>
      <c r="B397" s="19"/>
      <c r="C397" s="20"/>
      <c r="D397" s="21"/>
      <c r="E397" s="21"/>
      <c r="F397" s="21"/>
      <c r="G397" s="20"/>
      <c r="H397" s="21"/>
      <c r="I397" s="20"/>
      <c r="J397" s="20"/>
      <c r="K397" s="21"/>
      <c r="L397" s="21"/>
      <c r="M397" s="22" t="str">
        <f aca="false">IF($B397="","",$B397+2)</f>
        <v/>
      </c>
      <c r="N397" s="20"/>
      <c r="O397" s="22" t="str">
        <f aca="false">IF($B397="","",$B397+5)</f>
        <v/>
      </c>
      <c r="P397" s="20"/>
      <c r="Q397" s="22" t="str">
        <f aca="false">IF($B397="","",$B397+10)</f>
        <v/>
      </c>
      <c r="R397" s="20"/>
      <c r="S397" s="23" t="str">
        <f aca="true">IF($B397="","",IF(AND($N397="Y",$P397="Y",$R397="Y"),"Done",IF(OR(AND($M397&lt;=TODAY(),$N397&lt;&gt;"Y"),AND($O397&lt;=TODAY(),$P397&lt;&gt;"Y"),AND($Q397&lt;=TODAY(),$R397&lt;&gt;"Y")),"DUE","Scheduled")))</f>
        <v/>
      </c>
      <c r="T397" s="20"/>
      <c r="U397" s="23" t="str">
        <f aca="false">IF($B397="","",IF(OR($T397&lt;=2,$I397="Editorial"),"REDO",""))</f>
        <v/>
      </c>
      <c r="V397" s="18" t="str">
        <f aca="false">IF($S397&lt;&gt;"DUE","",COUNTIF($S$3:$S397,"DUE"))</f>
        <v/>
      </c>
    </row>
    <row r="398" customFormat="false" ht="15" hidden="false" customHeight="false" outlineLevel="0" collapsed="false">
      <c r="A398" s="12" t="str">
        <f aca="false">IF($F398="","",ROW()-2)</f>
        <v/>
      </c>
      <c r="B398" s="19"/>
      <c r="C398" s="20"/>
      <c r="D398" s="21"/>
      <c r="E398" s="21"/>
      <c r="F398" s="21"/>
      <c r="G398" s="20"/>
      <c r="H398" s="21"/>
      <c r="I398" s="20"/>
      <c r="J398" s="20"/>
      <c r="K398" s="21"/>
      <c r="L398" s="21"/>
      <c r="M398" s="22" t="str">
        <f aca="false">IF($B398="","",$B398+2)</f>
        <v/>
      </c>
      <c r="N398" s="20"/>
      <c r="O398" s="22" t="str">
        <f aca="false">IF($B398="","",$B398+5)</f>
        <v/>
      </c>
      <c r="P398" s="20"/>
      <c r="Q398" s="22" t="str">
        <f aca="false">IF($B398="","",$B398+10)</f>
        <v/>
      </c>
      <c r="R398" s="20"/>
      <c r="S398" s="23" t="str">
        <f aca="true">IF($B398="","",IF(AND($N398="Y",$P398="Y",$R398="Y"),"Done",IF(OR(AND($M398&lt;=TODAY(),$N398&lt;&gt;"Y"),AND($O398&lt;=TODAY(),$P398&lt;&gt;"Y"),AND($Q398&lt;=TODAY(),$R398&lt;&gt;"Y")),"DUE","Scheduled")))</f>
        <v/>
      </c>
      <c r="T398" s="20"/>
      <c r="U398" s="23" t="str">
        <f aca="false">IF($B398="","",IF(OR($T398&lt;=2,$I398="Editorial"),"REDO",""))</f>
        <v/>
      </c>
      <c r="V398" s="18" t="str">
        <f aca="false">IF($S398&lt;&gt;"DUE","",COUNTIF($S$3:$S398,"DUE"))</f>
        <v/>
      </c>
    </row>
    <row r="399" customFormat="false" ht="15" hidden="false" customHeight="false" outlineLevel="0" collapsed="false">
      <c r="A399" s="12" t="str">
        <f aca="false">IF($F399="","",ROW()-2)</f>
        <v/>
      </c>
      <c r="B399" s="19"/>
      <c r="C399" s="20"/>
      <c r="D399" s="21"/>
      <c r="E399" s="21"/>
      <c r="F399" s="21"/>
      <c r="G399" s="20"/>
      <c r="H399" s="21"/>
      <c r="I399" s="20"/>
      <c r="J399" s="20"/>
      <c r="K399" s="21"/>
      <c r="L399" s="21"/>
      <c r="M399" s="22" t="str">
        <f aca="false">IF($B399="","",$B399+2)</f>
        <v/>
      </c>
      <c r="N399" s="20"/>
      <c r="O399" s="22" t="str">
        <f aca="false">IF($B399="","",$B399+5)</f>
        <v/>
      </c>
      <c r="P399" s="20"/>
      <c r="Q399" s="22" t="str">
        <f aca="false">IF($B399="","",$B399+10)</f>
        <v/>
      </c>
      <c r="R399" s="20"/>
      <c r="S399" s="23" t="str">
        <f aca="true">IF($B399="","",IF(AND($N399="Y",$P399="Y",$R399="Y"),"Done",IF(OR(AND($M399&lt;=TODAY(),$N399&lt;&gt;"Y"),AND($O399&lt;=TODAY(),$P399&lt;&gt;"Y"),AND($Q399&lt;=TODAY(),$R399&lt;&gt;"Y")),"DUE","Scheduled")))</f>
        <v/>
      </c>
      <c r="T399" s="20"/>
      <c r="U399" s="23" t="str">
        <f aca="false">IF($B399="","",IF(OR($T399&lt;=2,$I399="Editorial"),"REDO",""))</f>
        <v/>
      </c>
      <c r="V399" s="18" t="str">
        <f aca="false">IF($S399&lt;&gt;"DUE","",COUNTIF($S$3:$S399,"DUE"))</f>
        <v/>
      </c>
    </row>
    <row r="400" customFormat="false" ht="15" hidden="false" customHeight="false" outlineLevel="0" collapsed="false">
      <c r="A400" s="12" t="str">
        <f aca="false">IF($F400="","",ROW()-2)</f>
        <v/>
      </c>
      <c r="B400" s="19"/>
      <c r="C400" s="20"/>
      <c r="D400" s="21"/>
      <c r="E400" s="21"/>
      <c r="F400" s="21"/>
      <c r="G400" s="20"/>
      <c r="H400" s="21"/>
      <c r="I400" s="20"/>
      <c r="J400" s="20"/>
      <c r="K400" s="21"/>
      <c r="L400" s="21"/>
      <c r="M400" s="22" t="str">
        <f aca="false">IF($B400="","",$B400+2)</f>
        <v/>
      </c>
      <c r="N400" s="20"/>
      <c r="O400" s="22" t="str">
        <f aca="false">IF($B400="","",$B400+5)</f>
        <v/>
      </c>
      <c r="P400" s="20"/>
      <c r="Q400" s="22" t="str">
        <f aca="false">IF($B400="","",$B400+10)</f>
        <v/>
      </c>
      <c r="R400" s="20"/>
      <c r="S400" s="23" t="str">
        <f aca="true">IF($B400="","",IF(AND($N400="Y",$P400="Y",$R400="Y"),"Done",IF(OR(AND($M400&lt;=TODAY(),$N400&lt;&gt;"Y"),AND($O400&lt;=TODAY(),$P400&lt;&gt;"Y"),AND($Q400&lt;=TODAY(),$R400&lt;&gt;"Y")),"DUE","Scheduled")))</f>
        <v/>
      </c>
      <c r="T400" s="20"/>
      <c r="U400" s="23" t="str">
        <f aca="false">IF($B400="","",IF(OR($T400&lt;=2,$I400="Editorial"),"REDO",""))</f>
        <v/>
      </c>
      <c r="V400" s="18" t="str">
        <f aca="false">IF($S400&lt;&gt;"DUE","",COUNTIF($S$3:$S400,"DUE"))</f>
        <v/>
      </c>
    </row>
    <row r="401" customFormat="false" ht="15" hidden="false" customHeight="false" outlineLevel="0" collapsed="false">
      <c r="A401" s="12" t="str">
        <f aca="false">IF($F401="","",ROW()-2)</f>
        <v/>
      </c>
      <c r="B401" s="19"/>
      <c r="C401" s="20"/>
      <c r="D401" s="21"/>
      <c r="E401" s="21"/>
      <c r="F401" s="21"/>
      <c r="G401" s="20"/>
      <c r="H401" s="21"/>
      <c r="I401" s="20"/>
      <c r="J401" s="20"/>
      <c r="K401" s="21"/>
      <c r="L401" s="21"/>
      <c r="M401" s="22" t="str">
        <f aca="false">IF($B401="","",$B401+2)</f>
        <v/>
      </c>
      <c r="N401" s="20"/>
      <c r="O401" s="22" t="str">
        <f aca="false">IF($B401="","",$B401+5)</f>
        <v/>
      </c>
      <c r="P401" s="20"/>
      <c r="Q401" s="22" t="str">
        <f aca="false">IF($B401="","",$B401+10)</f>
        <v/>
      </c>
      <c r="R401" s="20"/>
      <c r="S401" s="23" t="str">
        <f aca="true">IF($B401="","",IF(AND($N401="Y",$P401="Y",$R401="Y"),"Done",IF(OR(AND($M401&lt;=TODAY(),$N401&lt;&gt;"Y"),AND($O401&lt;=TODAY(),$P401&lt;&gt;"Y"),AND($Q401&lt;=TODAY(),$R401&lt;&gt;"Y")),"DUE","Scheduled")))</f>
        <v/>
      </c>
      <c r="T401" s="20"/>
      <c r="U401" s="23" t="str">
        <f aca="false">IF($B401="","",IF(OR($T401&lt;=2,$I401="Editorial"),"REDO",""))</f>
        <v/>
      </c>
      <c r="V401" s="18" t="str">
        <f aca="false">IF($S401&lt;&gt;"DUE","",COUNTIF($S$3:$S401,"DUE"))</f>
        <v/>
      </c>
    </row>
    <row r="402" customFormat="false" ht="15" hidden="false" customHeight="false" outlineLevel="0" collapsed="false">
      <c r="A402" s="12" t="str">
        <f aca="false">IF($F402="","",ROW()-2)</f>
        <v/>
      </c>
      <c r="B402" s="19"/>
      <c r="C402" s="20"/>
      <c r="D402" s="21"/>
      <c r="E402" s="21"/>
      <c r="F402" s="21"/>
      <c r="G402" s="20"/>
      <c r="H402" s="21"/>
      <c r="I402" s="20"/>
      <c r="J402" s="20"/>
      <c r="K402" s="21"/>
      <c r="L402" s="21"/>
      <c r="M402" s="22" t="str">
        <f aca="false">IF($B402="","",$B402+2)</f>
        <v/>
      </c>
      <c r="N402" s="20"/>
      <c r="O402" s="22" t="str">
        <f aca="false">IF($B402="","",$B402+5)</f>
        <v/>
      </c>
      <c r="P402" s="20"/>
      <c r="Q402" s="22" t="str">
        <f aca="false">IF($B402="","",$B402+10)</f>
        <v/>
      </c>
      <c r="R402" s="20"/>
      <c r="S402" s="23" t="str">
        <f aca="true">IF($B402="","",IF(AND($N402="Y",$P402="Y",$R402="Y"),"Done",IF(OR(AND($M402&lt;=TODAY(),$N402&lt;&gt;"Y"),AND($O402&lt;=TODAY(),$P402&lt;&gt;"Y"),AND($Q402&lt;=TODAY(),$R402&lt;&gt;"Y")),"DUE","Scheduled")))</f>
        <v/>
      </c>
      <c r="T402" s="20"/>
      <c r="U402" s="23" t="str">
        <f aca="false">IF($B402="","",IF(OR($T402&lt;=2,$I402="Editorial"),"REDO",""))</f>
        <v/>
      </c>
      <c r="V402" s="18" t="str">
        <f aca="false">IF($S402&lt;&gt;"DUE","",COUNTIF($S$3:$S402,"DUE"))</f>
        <v/>
      </c>
    </row>
    <row r="403" customFormat="false" ht="15" hidden="false" customHeight="false" outlineLevel="0" collapsed="false">
      <c r="A403" s="12" t="str">
        <f aca="false">IF($F403="","",ROW()-2)</f>
        <v/>
      </c>
      <c r="B403" s="19"/>
      <c r="C403" s="20"/>
      <c r="D403" s="21"/>
      <c r="E403" s="21"/>
      <c r="F403" s="21"/>
      <c r="G403" s="20"/>
      <c r="H403" s="21"/>
      <c r="I403" s="20"/>
      <c r="J403" s="20"/>
      <c r="K403" s="21"/>
      <c r="L403" s="21"/>
      <c r="M403" s="22" t="str">
        <f aca="false">IF($B403="","",$B403+2)</f>
        <v/>
      </c>
      <c r="N403" s="20"/>
      <c r="O403" s="22" t="str">
        <f aca="false">IF($B403="","",$B403+5)</f>
        <v/>
      </c>
      <c r="P403" s="20"/>
      <c r="Q403" s="22" t="str">
        <f aca="false">IF($B403="","",$B403+10)</f>
        <v/>
      </c>
      <c r="R403" s="20"/>
      <c r="S403" s="23" t="str">
        <f aca="true">IF($B403="","",IF(AND($N403="Y",$P403="Y",$R403="Y"),"Done",IF(OR(AND($M403&lt;=TODAY(),$N403&lt;&gt;"Y"),AND($O403&lt;=TODAY(),$P403&lt;&gt;"Y"),AND($Q403&lt;=TODAY(),$R403&lt;&gt;"Y")),"DUE","Scheduled")))</f>
        <v/>
      </c>
      <c r="T403" s="20"/>
      <c r="U403" s="23" t="str">
        <f aca="false">IF($B403="","",IF(OR($T403&lt;=2,$I403="Editorial"),"REDO",""))</f>
        <v/>
      </c>
      <c r="V403" s="18" t="str">
        <f aca="false">IF($S403&lt;&gt;"DUE","",COUNTIF($S$3:$S403,"DUE"))</f>
        <v/>
      </c>
    </row>
    <row r="404" customFormat="false" ht="15" hidden="false" customHeight="false" outlineLevel="0" collapsed="false">
      <c r="A404" s="12" t="str">
        <f aca="false">IF($F404="","",ROW()-2)</f>
        <v/>
      </c>
      <c r="B404" s="19"/>
      <c r="C404" s="20"/>
      <c r="D404" s="21"/>
      <c r="E404" s="21"/>
      <c r="F404" s="21"/>
      <c r="G404" s="20"/>
      <c r="H404" s="21"/>
      <c r="I404" s="20"/>
      <c r="J404" s="20"/>
      <c r="K404" s="21"/>
      <c r="L404" s="21"/>
      <c r="M404" s="22" t="str">
        <f aca="false">IF($B404="","",$B404+2)</f>
        <v/>
      </c>
      <c r="N404" s="20"/>
      <c r="O404" s="22" t="str">
        <f aca="false">IF($B404="","",$B404+5)</f>
        <v/>
      </c>
      <c r="P404" s="20"/>
      <c r="Q404" s="22" t="str">
        <f aca="false">IF($B404="","",$B404+10)</f>
        <v/>
      </c>
      <c r="R404" s="20"/>
      <c r="S404" s="23" t="str">
        <f aca="true">IF($B404="","",IF(AND($N404="Y",$P404="Y",$R404="Y"),"Done",IF(OR(AND($M404&lt;=TODAY(),$N404&lt;&gt;"Y"),AND($O404&lt;=TODAY(),$P404&lt;&gt;"Y"),AND($Q404&lt;=TODAY(),$R404&lt;&gt;"Y")),"DUE","Scheduled")))</f>
        <v/>
      </c>
      <c r="T404" s="20"/>
      <c r="U404" s="23" t="str">
        <f aca="false">IF($B404="","",IF(OR($T404&lt;=2,$I404="Editorial"),"REDO",""))</f>
        <v/>
      </c>
      <c r="V404" s="18" t="str">
        <f aca="false">IF($S404&lt;&gt;"DUE","",COUNTIF($S$3:$S404,"DUE"))</f>
        <v/>
      </c>
    </row>
    <row r="405" customFormat="false" ht="15" hidden="false" customHeight="false" outlineLevel="0" collapsed="false">
      <c r="A405" s="12" t="str">
        <f aca="false">IF($F405="","",ROW()-2)</f>
        <v/>
      </c>
      <c r="B405" s="19"/>
      <c r="C405" s="20"/>
      <c r="D405" s="21"/>
      <c r="E405" s="21"/>
      <c r="F405" s="21"/>
      <c r="G405" s="20"/>
      <c r="H405" s="21"/>
      <c r="I405" s="20"/>
      <c r="J405" s="20"/>
      <c r="K405" s="21"/>
      <c r="L405" s="21"/>
      <c r="M405" s="22" t="str">
        <f aca="false">IF($B405="","",$B405+2)</f>
        <v/>
      </c>
      <c r="N405" s="20"/>
      <c r="O405" s="22" t="str">
        <f aca="false">IF($B405="","",$B405+5)</f>
        <v/>
      </c>
      <c r="P405" s="20"/>
      <c r="Q405" s="22" t="str">
        <f aca="false">IF($B405="","",$B405+10)</f>
        <v/>
      </c>
      <c r="R405" s="20"/>
      <c r="S405" s="23" t="str">
        <f aca="true">IF($B405="","",IF(AND($N405="Y",$P405="Y",$R405="Y"),"Done",IF(OR(AND($M405&lt;=TODAY(),$N405&lt;&gt;"Y"),AND($O405&lt;=TODAY(),$P405&lt;&gt;"Y"),AND($Q405&lt;=TODAY(),$R405&lt;&gt;"Y")),"DUE","Scheduled")))</f>
        <v/>
      </c>
      <c r="T405" s="20"/>
      <c r="U405" s="23" t="str">
        <f aca="false">IF($B405="","",IF(OR($T405&lt;=2,$I405="Editorial"),"REDO",""))</f>
        <v/>
      </c>
      <c r="V405" s="18" t="str">
        <f aca="false">IF($S405&lt;&gt;"DUE","",COUNTIF($S$3:$S405,"DUE"))</f>
        <v/>
      </c>
    </row>
    <row r="406" customFormat="false" ht="15" hidden="false" customHeight="false" outlineLevel="0" collapsed="false">
      <c r="A406" s="12" t="str">
        <f aca="false">IF($F406="","",ROW()-2)</f>
        <v/>
      </c>
      <c r="B406" s="19"/>
      <c r="C406" s="20"/>
      <c r="D406" s="21"/>
      <c r="E406" s="21"/>
      <c r="F406" s="21"/>
      <c r="G406" s="20"/>
      <c r="H406" s="21"/>
      <c r="I406" s="20"/>
      <c r="J406" s="20"/>
      <c r="K406" s="21"/>
      <c r="L406" s="21"/>
      <c r="M406" s="22" t="str">
        <f aca="false">IF($B406="","",$B406+2)</f>
        <v/>
      </c>
      <c r="N406" s="20"/>
      <c r="O406" s="22" t="str">
        <f aca="false">IF($B406="","",$B406+5)</f>
        <v/>
      </c>
      <c r="P406" s="20"/>
      <c r="Q406" s="22" t="str">
        <f aca="false">IF($B406="","",$B406+10)</f>
        <v/>
      </c>
      <c r="R406" s="20"/>
      <c r="S406" s="23" t="str">
        <f aca="true">IF($B406="","",IF(AND($N406="Y",$P406="Y",$R406="Y"),"Done",IF(OR(AND($M406&lt;=TODAY(),$N406&lt;&gt;"Y"),AND($O406&lt;=TODAY(),$P406&lt;&gt;"Y"),AND($Q406&lt;=TODAY(),$R406&lt;&gt;"Y")),"DUE","Scheduled")))</f>
        <v/>
      </c>
      <c r="T406" s="20"/>
      <c r="U406" s="23" t="str">
        <f aca="false">IF($B406="","",IF(OR($T406&lt;=2,$I406="Editorial"),"REDO",""))</f>
        <v/>
      </c>
      <c r="V406" s="18" t="str">
        <f aca="false">IF($S406&lt;&gt;"DUE","",COUNTIF($S$3:$S406,"DUE"))</f>
        <v/>
      </c>
    </row>
    <row r="407" customFormat="false" ht="15" hidden="false" customHeight="false" outlineLevel="0" collapsed="false">
      <c r="A407" s="12" t="str">
        <f aca="false">IF($F407="","",ROW()-2)</f>
        <v/>
      </c>
      <c r="B407" s="19"/>
      <c r="C407" s="20"/>
      <c r="D407" s="21"/>
      <c r="E407" s="21"/>
      <c r="F407" s="21"/>
      <c r="G407" s="20"/>
      <c r="H407" s="21"/>
      <c r="I407" s="20"/>
      <c r="J407" s="20"/>
      <c r="K407" s="21"/>
      <c r="L407" s="21"/>
      <c r="M407" s="22" t="str">
        <f aca="false">IF($B407="","",$B407+2)</f>
        <v/>
      </c>
      <c r="N407" s="20"/>
      <c r="O407" s="22" t="str">
        <f aca="false">IF($B407="","",$B407+5)</f>
        <v/>
      </c>
      <c r="P407" s="20"/>
      <c r="Q407" s="22" t="str">
        <f aca="false">IF($B407="","",$B407+10)</f>
        <v/>
      </c>
      <c r="R407" s="20"/>
      <c r="S407" s="23" t="str">
        <f aca="true">IF($B407="","",IF(AND($N407="Y",$P407="Y",$R407="Y"),"Done",IF(OR(AND($M407&lt;=TODAY(),$N407&lt;&gt;"Y"),AND($O407&lt;=TODAY(),$P407&lt;&gt;"Y"),AND($Q407&lt;=TODAY(),$R407&lt;&gt;"Y")),"DUE","Scheduled")))</f>
        <v/>
      </c>
      <c r="T407" s="20"/>
      <c r="U407" s="23" t="str">
        <f aca="false">IF($B407="","",IF(OR($T407&lt;=2,$I407="Editorial"),"REDO",""))</f>
        <v/>
      </c>
      <c r="V407" s="18" t="str">
        <f aca="false">IF($S407&lt;&gt;"DUE","",COUNTIF($S$3:$S407,"DUE"))</f>
        <v/>
      </c>
    </row>
    <row r="408" customFormat="false" ht="15" hidden="false" customHeight="false" outlineLevel="0" collapsed="false">
      <c r="A408" s="12" t="str">
        <f aca="false">IF($F408="","",ROW()-2)</f>
        <v/>
      </c>
      <c r="B408" s="19"/>
      <c r="C408" s="20"/>
      <c r="D408" s="21"/>
      <c r="E408" s="21"/>
      <c r="F408" s="21"/>
      <c r="G408" s="20"/>
      <c r="H408" s="21"/>
      <c r="I408" s="20"/>
      <c r="J408" s="20"/>
      <c r="K408" s="21"/>
      <c r="L408" s="21"/>
      <c r="M408" s="22" t="str">
        <f aca="false">IF($B408="","",$B408+2)</f>
        <v/>
      </c>
      <c r="N408" s="20"/>
      <c r="O408" s="22" t="str">
        <f aca="false">IF($B408="","",$B408+5)</f>
        <v/>
      </c>
      <c r="P408" s="20"/>
      <c r="Q408" s="22" t="str">
        <f aca="false">IF($B408="","",$B408+10)</f>
        <v/>
      </c>
      <c r="R408" s="20"/>
      <c r="S408" s="23" t="str">
        <f aca="true">IF($B408="","",IF(AND($N408="Y",$P408="Y",$R408="Y"),"Done",IF(OR(AND($M408&lt;=TODAY(),$N408&lt;&gt;"Y"),AND($O408&lt;=TODAY(),$P408&lt;&gt;"Y"),AND($Q408&lt;=TODAY(),$R408&lt;&gt;"Y")),"DUE","Scheduled")))</f>
        <v/>
      </c>
      <c r="T408" s="20"/>
      <c r="U408" s="23" t="str">
        <f aca="false">IF($B408="","",IF(OR($T408&lt;=2,$I408="Editorial"),"REDO",""))</f>
        <v/>
      </c>
      <c r="V408" s="18" t="str">
        <f aca="false">IF($S408&lt;&gt;"DUE","",COUNTIF($S$3:$S408,"DUE"))</f>
        <v/>
      </c>
    </row>
    <row r="409" customFormat="false" ht="15" hidden="false" customHeight="false" outlineLevel="0" collapsed="false">
      <c r="A409" s="12" t="str">
        <f aca="false">IF($F409="","",ROW()-2)</f>
        <v/>
      </c>
      <c r="B409" s="19"/>
      <c r="C409" s="20"/>
      <c r="D409" s="21"/>
      <c r="E409" s="21"/>
      <c r="F409" s="21"/>
      <c r="G409" s="20"/>
      <c r="H409" s="21"/>
      <c r="I409" s="20"/>
      <c r="J409" s="20"/>
      <c r="K409" s="21"/>
      <c r="L409" s="21"/>
      <c r="M409" s="22" t="str">
        <f aca="false">IF($B409="","",$B409+2)</f>
        <v/>
      </c>
      <c r="N409" s="20"/>
      <c r="O409" s="22" t="str">
        <f aca="false">IF($B409="","",$B409+5)</f>
        <v/>
      </c>
      <c r="P409" s="20"/>
      <c r="Q409" s="22" t="str">
        <f aca="false">IF($B409="","",$B409+10)</f>
        <v/>
      </c>
      <c r="R409" s="20"/>
      <c r="S409" s="23" t="str">
        <f aca="true">IF($B409="","",IF(AND($N409="Y",$P409="Y",$R409="Y"),"Done",IF(OR(AND($M409&lt;=TODAY(),$N409&lt;&gt;"Y"),AND($O409&lt;=TODAY(),$P409&lt;&gt;"Y"),AND($Q409&lt;=TODAY(),$R409&lt;&gt;"Y")),"DUE","Scheduled")))</f>
        <v/>
      </c>
      <c r="T409" s="20"/>
      <c r="U409" s="23" t="str">
        <f aca="false">IF($B409="","",IF(OR($T409&lt;=2,$I409="Editorial"),"REDO",""))</f>
        <v/>
      </c>
      <c r="V409" s="18" t="str">
        <f aca="false">IF($S409&lt;&gt;"DUE","",COUNTIF($S$3:$S409,"DUE"))</f>
        <v/>
      </c>
    </row>
    <row r="410" customFormat="false" ht="15" hidden="false" customHeight="false" outlineLevel="0" collapsed="false">
      <c r="A410" s="12" t="str">
        <f aca="false">IF($F410="","",ROW()-2)</f>
        <v/>
      </c>
      <c r="B410" s="19"/>
      <c r="C410" s="20"/>
      <c r="D410" s="21"/>
      <c r="E410" s="21"/>
      <c r="F410" s="21"/>
      <c r="G410" s="20"/>
      <c r="H410" s="21"/>
      <c r="I410" s="20"/>
      <c r="J410" s="20"/>
      <c r="K410" s="21"/>
      <c r="L410" s="21"/>
      <c r="M410" s="22" t="str">
        <f aca="false">IF($B410="","",$B410+2)</f>
        <v/>
      </c>
      <c r="N410" s="20"/>
      <c r="O410" s="22" t="str">
        <f aca="false">IF($B410="","",$B410+5)</f>
        <v/>
      </c>
      <c r="P410" s="20"/>
      <c r="Q410" s="22" t="str">
        <f aca="false">IF($B410="","",$B410+10)</f>
        <v/>
      </c>
      <c r="R410" s="20"/>
      <c r="S410" s="23" t="str">
        <f aca="true">IF($B410="","",IF(AND($N410="Y",$P410="Y",$R410="Y"),"Done",IF(OR(AND($M410&lt;=TODAY(),$N410&lt;&gt;"Y"),AND($O410&lt;=TODAY(),$P410&lt;&gt;"Y"),AND($Q410&lt;=TODAY(),$R410&lt;&gt;"Y")),"DUE","Scheduled")))</f>
        <v/>
      </c>
      <c r="T410" s="20"/>
      <c r="U410" s="23" t="str">
        <f aca="false">IF($B410="","",IF(OR($T410&lt;=2,$I410="Editorial"),"REDO",""))</f>
        <v/>
      </c>
      <c r="V410" s="18" t="str">
        <f aca="false">IF($S410&lt;&gt;"DUE","",COUNTIF($S$3:$S410,"DUE"))</f>
        <v/>
      </c>
    </row>
    <row r="411" customFormat="false" ht="15" hidden="false" customHeight="false" outlineLevel="0" collapsed="false">
      <c r="A411" s="12" t="str">
        <f aca="false">IF($F411="","",ROW()-2)</f>
        <v/>
      </c>
      <c r="B411" s="19"/>
      <c r="C411" s="20"/>
      <c r="D411" s="21"/>
      <c r="E411" s="21"/>
      <c r="F411" s="21"/>
      <c r="G411" s="20"/>
      <c r="H411" s="21"/>
      <c r="I411" s="20"/>
      <c r="J411" s="20"/>
      <c r="K411" s="21"/>
      <c r="L411" s="21"/>
      <c r="M411" s="22" t="str">
        <f aca="false">IF($B411="","",$B411+2)</f>
        <v/>
      </c>
      <c r="N411" s="20"/>
      <c r="O411" s="22" t="str">
        <f aca="false">IF($B411="","",$B411+5)</f>
        <v/>
      </c>
      <c r="P411" s="20"/>
      <c r="Q411" s="22" t="str">
        <f aca="false">IF($B411="","",$B411+10)</f>
        <v/>
      </c>
      <c r="R411" s="20"/>
      <c r="S411" s="23" t="str">
        <f aca="true">IF($B411="","",IF(AND($N411="Y",$P411="Y",$R411="Y"),"Done",IF(OR(AND($M411&lt;=TODAY(),$N411&lt;&gt;"Y"),AND($O411&lt;=TODAY(),$P411&lt;&gt;"Y"),AND($Q411&lt;=TODAY(),$R411&lt;&gt;"Y")),"DUE","Scheduled")))</f>
        <v/>
      </c>
      <c r="T411" s="20"/>
      <c r="U411" s="23" t="str">
        <f aca="false">IF($B411="","",IF(OR($T411&lt;=2,$I411="Editorial"),"REDO",""))</f>
        <v/>
      </c>
      <c r="V411" s="18" t="str">
        <f aca="false">IF($S411&lt;&gt;"DUE","",COUNTIF($S$3:$S411,"DUE"))</f>
        <v/>
      </c>
    </row>
    <row r="412" customFormat="false" ht="15" hidden="false" customHeight="false" outlineLevel="0" collapsed="false">
      <c r="A412" s="12" t="str">
        <f aca="false">IF($F412="","",ROW()-2)</f>
        <v/>
      </c>
      <c r="B412" s="19"/>
      <c r="C412" s="20"/>
      <c r="D412" s="21"/>
      <c r="E412" s="21"/>
      <c r="F412" s="21"/>
      <c r="G412" s="20"/>
      <c r="H412" s="21"/>
      <c r="I412" s="20"/>
      <c r="J412" s="20"/>
      <c r="K412" s="21"/>
      <c r="L412" s="21"/>
      <c r="M412" s="22" t="str">
        <f aca="false">IF($B412="","",$B412+2)</f>
        <v/>
      </c>
      <c r="N412" s="20"/>
      <c r="O412" s="22" t="str">
        <f aca="false">IF($B412="","",$B412+5)</f>
        <v/>
      </c>
      <c r="P412" s="20"/>
      <c r="Q412" s="22" t="str">
        <f aca="false">IF($B412="","",$B412+10)</f>
        <v/>
      </c>
      <c r="R412" s="20"/>
      <c r="S412" s="23" t="str">
        <f aca="true">IF($B412="","",IF(AND($N412="Y",$P412="Y",$R412="Y"),"Done",IF(OR(AND($M412&lt;=TODAY(),$N412&lt;&gt;"Y"),AND($O412&lt;=TODAY(),$P412&lt;&gt;"Y"),AND($Q412&lt;=TODAY(),$R412&lt;&gt;"Y")),"DUE","Scheduled")))</f>
        <v/>
      </c>
      <c r="T412" s="20"/>
      <c r="U412" s="23" t="str">
        <f aca="false">IF($B412="","",IF(OR($T412&lt;=2,$I412="Editorial"),"REDO",""))</f>
        <v/>
      </c>
      <c r="V412" s="18" t="str">
        <f aca="false">IF($S412&lt;&gt;"DUE","",COUNTIF($S$3:$S412,"DUE"))</f>
        <v/>
      </c>
    </row>
    <row r="413" customFormat="false" ht="15" hidden="false" customHeight="false" outlineLevel="0" collapsed="false">
      <c r="A413" s="12" t="str">
        <f aca="false">IF($F413="","",ROW()-2)</f>
        <v/>
      </c>
      <c r="B413" s="19"/>
      <c r="C413" s="20"/>
      <c r="D413" s="21"/>
      <c r="E413" s="21"/>
      <c r="F413" s="21"/>
      <c r="G413" s="20"/>
      <c r="H413" s="21"/>
      <c r="I413" s="20"/>
      <c r="J413" s="20"/>
      <c r="K413" s="21"/>
      <c r="L413" s="21"/>
      <c r="M413" s="22" t="str">
        <f aca="false">IF($B413="","",$B413+2)</f>
        <v/>
      </c>
      <c r="N413" s="20"/>
      <c r="O413" s="22" t="str">
        <f aca="false">IF($B413="","",$B413+5)</f>
        <v/>
      </c>
      <c r="P413" s="20"/>
      <c r="Q413" s="22" t="str">
        <f aca="false">IF($B413="","",$B413+10)</f>
        <v/>
      </c>
      <c r="R413" s="20"/>
      <c r="S413" s="23" t="str">
        <f aca="true">IF($B413="","",IF(AND($N413="Y",$P413="Y",$R413="Y"),"Done",IF(OR(AND($M413&lt;=TODAY(),$N413&lt;&gt;"Y"),AND($O413&lt;=TODAY(),$P413&lt;&gt;"Y"),AND($Q413&lt;=TODAY(),$R413&lt;&gt;"Y")),"DUE","Scheduled")))</f>
        <v/>
      </c>
      <c r="T413" s="20"/>
      <c r="U413" s="23" t="str">
        <f aca="false">IF($B413="","",IF(OR($T413&lt;=2,$I413="Editorial"),"REDO",""))</f>
        <v/>
      </c>
      <c r="V413" s="18" t="str">
        <f aca="false">IF($S413&lt;&gt;"DUE","",COUNTIF($S$3:$S413,"DUE"))</f>
        <v/>
      </c>
    </row>
    <row r="414" customFormat="false" ht="15" hidden="false" customHeight="false" outlineLevel="0" collapsed="false">
      <c r="A414" s="12" t="str">
        <f aca="false">IF($F414="","",ROW()-2)</f>
        <v/>
      </c>
      <c r="B414" s="19"/>
      <c r="C414" s="20"/>
      <c r="D414" s="21"/>
      <c r="E414" s="21"/>
      <c r="F414" s="21"/>
      <c r="G414" s="20"/>
      <c r="H414" s="21"/>
      <c r="I414" s="20"/>
      <c r="J414" s="20"/>
      <c r="K414" s="21"/>
      <c r="L414" s="21"/>
      <c r="M414" s="22" t="str">
        <f aca="false">IF($B414="","",$B414+2)</f>
        <v/>
      </c>
      <c r="N414" s="20"/>
      <c r="O414" s="22" t="str">
        <f aca="false">IF($B414="","",$B414+5)</f>
        <v/>
      </c>
      <c r="P414" s="20"/>
      <c r="Q414" s="22" t="str">
        <f aca="false">IF($B414="","",$B414+10)</f>
        <v/>
      </c>
      <c r="R414" s="20"/>
      <c r="S414" s="23" t="str">
        <f aca="true">IF($B414="","",IF(AND($N414="Y",$P414="Y",$R414="Y"),"Done",IF(OR(AND($M414&lt;=TODAY(),$N414&lt;&gt;"Y"),AND($O414&lt;=TODAY(),$P414&lt;&gt;"Y"),AND($Q414&lt;=TODAY(),$R414&lt;&gt;"Y")),"DUE","Scheduled")))</f>
        <v/>
      </c>
      <c r="T414" s="20"/>
      <c r="U414" s="23" t="str">
        <f aca="false">IF($B414="","",IF(OR($T414&lt;=2,$I414="Editorial"),"REDO",""))</f>
        <v/>
      </c>
      <c r="V414" s="18" t="str">
        <f aca="false">IF($S414&lt;&gt;"DUE","",COUNTIF($S$3:$S414,"DUE"))</f>
        <v/>
      </c>
    </row>
    <row r="415" customFormat="false" ht="15" hidden="false" customHeight="false" outlineLevel="0" collapsed="false">
      <c r="A415" s="12" t="str">
        <f aca="false">IF($F415="","",ROW()-2)</f>
        <v/>
      </c>
      <c r="B415" s="19"/>
      <c r="C415" s="20"/>
      <c r="D415" s="21"/>
      <c r="E415" s="21"/>
      <c r="F415" s="21"/>
      <c r="G415" s="20"/>
      <c r="H415" s="21"/>
      <c r="I415" s="20"/>
      <c r="J415" s="20"/>
      <c r="K415" s="21"/>
      <c r="L415" s="21"/>
      <c r="M415" s="22" t="str">
        <f aca="false">IF($B415="","",$B415+2)</f>
        <v/>
      </c>
      <c r="N415" s="20"/>
      <c r="O415" s="22" t="str">
        <f aca="false">IF($B415="","",$B415+5)</f>
        <v/>
      </c>
      <c r="P415" s="20"/>
      <c r="Q415" s="22" t="str">
        <f aca="false">IF($B415="","",$B415+10)</f>
        <v/>
      </c>
      <c r="R415" s="20"/>
      <c r="S415" s="23" t="str">
        <f aca="true">IF($B415="","",IF(AND($N415="Y",$P415="Y",$R415="Y"),"Done",IF(OR(AND($M415&lt;=TODAY(),$N415&lt;&gt;"Y"),AND($O415&lt;=TODAY(),$P415&lt;&gt;"Y"),AND($Q415&lt;=TODAY(),$R415&lt;&gt;"Y")),"DUE","Scheduled")))</f>
        <v/>
      </c>
      <c r="T415" s="20"/>
      <c r="U415" s="23" t="str">
        <f aca="false">IF($B415="","",IF(OR($T415&lt;=2,$I415="Editorial"),"REDO",""))</f>
        <v/>
      </c>
      <c r="V415" s="18" t="str">
        <f aca="false">IF($S415&lt;&gt;"DUE","",COUNTIF($S$3:$S415,"DUE"))</f>
        <v/>
      </c>
    </row>
    <row r="416" customFormat="false" ht="15" hidden="false" customHeight="false" outlineLevel="0" collapsed="false">
      <c r="A416" s="12" t="str">
        <f aca="false">IF($F416="","",ROW()-2)</f>
        <v/>
      </c>
      <c r="B416" s="19"/>
      <c r="C416" s="20"/>
      <c r="D416" s="21"/>
      <c r="E416" s="21"/>
      <c r="F416" s="21"/>
      <c r="G416" s="20"/>
      <c r="H416" s="21"/>
      <c r="I416" s="20"/>
      <c r="J416" s="20"/>
      <c r="K416" s="21"/>
      <c r="L416" s="21"/>
      <c r="M416" s="22" t="str">
        <f aca="false">IF($B416="","",$B416+2)</f>
        <v/>
      </c>
      <c r="N416" s="20"/>
      <c r="O416" s="22" t="str">
        <f aca="false">IF($B416="","",$B416+5)</f>
        <v/>
      </c>
      <c r="P416" s="20"/>
      <c r="Q416" s="22" t="str">
        <f aca="false">IF($B416="","",$B416+10)</f>
        <v/>
      </c>
      <c r="R416" s="20"/>
      <c r="S416" s="23" t="str">
        <f aca="true">IF($B416="","",IF(AND($N416="Y",$P416="Y",$R416="Y"),"Done",IF(OR(AND($M416&lt;=TODAY(),$N416&lt;&gt;"Y"),AND($O416&lt;=TODAY(),$P416&lt;&gt;"Y"),AND($Q416&lt;=TODAY(),$R416&lt;&gt;"Y")),"DUE","Scheduled")))</f>
        <v/>
      </c>
      <c r="T416" s="20"/>
      <c r="U416" s="23" t="str">
        <f aca="false">IF($B416="","",IF(OR($T416&lt;=2,$I416="Editorial"),"REDO",""))</f>
        <v/>
      </c>
      <c r="V416" s="18" t="str">
        <f aca="false">IF($S416&lt;&gt;"DUE","",COUNTIF($S$3:$S416,"DUE"))</f>
        <v/>
      </c>
    </row>
    <row r="417" customFormat="false" ht="15" hidden="false" customHeight="false" outlineLevel="0" collapsed="false">
      <c r="A417" s="12" t="str">
        <f aca="false">IF($F417="","",ROW()-2)</f>
        <v/>
      </c>
      <c r="B417" s="19"/>
      <c r="C417" s="20"/>
      <c r="D417" s="21"/>
      <c r="E417" s="21"/>
      <c r="F417" s="21"/>
      <c r="G417" s="20"/>
      <c r="H417" s="21"/>
      <c r="I417" s="20"/>
      <c r="J417" s="20"/>
      <c r="K417" s="21"/>
      <c r="L417" s="21"/>
      <c r="M417" s="22" t="str">
        <f aca="false">IF($B417="","",$B417+2)</f>
        <v/>
      </c>
      <c r="N417" s="20"/>
      <c r="O417" s="22" t="str">
        <f aca="false">IF($B417="","",$B417+5)</f>
        <v/>
      </c>
      <c r="P417" s="20"/>
      <c r="Q417" s="22" t="str">
        <f aca="false">IF($B417="","",$B417+10)</f>
        <v/>
      </c>
      <c r="R417" s="20"/>
      <c r="S417" s="23" t="str">
        <f aca="true">IF($B417="","",IF(AND($N417="Y",$P417="Y",$R417="Y"),"Done",IF(OR(AND($M417&lt;=TODAY(),$N417&lt;&gt;"Y"),AND($O417&lt;=TODAY(),$P417&lt;&gt;"Y"),AND($Q417&lt;=TODAY(),$R417&lt;&gt;"Y")),"DUE","Scheduled")))</f>
        <v/>
      </c>
      <c r="T417" s="20"/>
      <c r="U417" s="23" t="str">
        <f aca="false">IF($B417="","",IF(OR($T417&lt;=2,$I417="Editorial"),"REDO",""))</f>
        <v/>
      </c>
      <c r="V417" s="18" t="str">
        <f aca="false">IF($S417&lt;&gt;"DUE","",COUNTIF($S$3:$S417,"DUE"))</f>
        <v/>
      </c>
    </row>
    <row r="418" customFormat="false" ht="15" hidden="false" customHeight="false" outlineLevel="0" collapsed="false">
      <c r="A418" s="12" t="str">
        <f aca="false">IF($F418="","",ROW()-2)</f>
        <v/>
      </c>
      <c r="B418" s="19"/>
      <c r="C418" s="20"/>
      <c r="D418" s="21"/>
      <c r="E418" s="21"/>
      <c r="F418" s="21"/>
      <c r="G418" s="20"/>
      <c r="H418" s="21"/>
      <c r="I418" s="20"/>
      <c r="J418" s="20"/>
      <c r="K418" s="21"/>
      <c r="L418" s="21"/>
      <c r="M418" s="22" t="str">
        <f aca="false">IF($B418="","",$B418+2)</f>
        <v/>
      </c>
      <c r="N418" s="20"/>
      <c r="O418" s="22" t="str">
        <f aca="false">IF($B418="","",$B418+5)</f>
        <v/>
      </c>
      <c r="P418" s="20"/>
      <c r="Q418" s="22" t="str">
        <f aca="false">IF($B418="","",$B418+10)</f>
        <v/>
      </c>
      <c r="R418" s="20"/>
      <c r="S418" s="23" t="str">
        <f aca="true">IF($B418="","",IF(AND($N418="Y",$P418="Y",$R418="Y"),"Done",IF(OR(AND($M418&lt;=TODAY(),$N418&lt;&gt;"Y"),AND($O418&lt;=TODAY(),$P418&lt;&gt;"Y"),AND($Q418&lt;=TODAY(),$R418&lt;&gt;"Y")),"DUE","Scheduled")))</f>
        <v/>
      </c>
      <c r="T418" s="20"/>
      <c r="U418" s="23" t="str">
        <f aca="false">IF($B418="","",IF(OR($T418&lt;=2,$I418="Editorial"),"REDO",""))</f>
        <v/>
      </c>
      <c r="V418" s="18" t="str">
        <f aca="false">IF($S418&lt;&gt;"DUE","",COUNTIF($S$3:$S418,"DUE"))</f>
        <v/>
      </c>
    </row>
    <row r="419" customFormat="false" ht="15" hidden="false" customHeight="false" outlineLevel="0" collapsed="false">
      <c r="A419" s="12" t="str">
        <f aca="false">IF($F419="","",ROW()-2)</f>
        <v/>
      </c>
      <c r="B419" s="19"/>
      <c r="C419" s="20"/>
      <c r="D419" s="21"/>
      <c r="E419" s="21"/>
      <c r="F419" s="21"/>
      <c r="G419" s="20"/>
      <c r="H419" s="21"/>
      <c r="I419" s="20"/>
      <c r="J419" s="20"/>
      <c r="K419" s="21"/>
      <c r="L419" s="21"/>
      <c r="M419" s="22" t="str">
        <f aca="false">IF($B419="","",$B419+2)</f>
        <v/>
      </c>
      <c r="N419" s="20"/>
      <c r="O419" s="22" t="str">
        <f aca="false">IF($B419="","",$B419+5)</f>
        <v/>
      </c>
      <c r="P419" s="20"/>
      <c r="Q419" s="22" t="str">
        <f aca="false">IF($B419="","",$B419+10)</f>
        <v/>
      </c>
      <c r="R419" s="20"/>
      <c r="S419" s="23" t="str">
        <f aca="true">IF($B419="","",IF(AND($N419="Y",$P419="Y",$R419="Y"),"Done",IF(OR(AND($M419&lt;=TODAY(),$N419&lt;&gt;"Y"),AND($O419&lt;=TODAY(),$P419&lt;&gt;"Y"),AND($Q419&lt;=TODAY(),$R419&lt;&gt;"Y")),"DUE","Scheduled")))</f>
        <v/>
      </c>
      <c r="T419" s="20"/>
      <c r="U419" s="23" t="str">
        <f aca="false">IF($B419="","",IF(OR($T419&lt;=2,$I419="Editorial"),"REDO",""))</f>
        <v/>
      </c>
      <c r="V419" s="18" t="str">
        <f aca="false">IF($S419&lt;&gt;"DUE","",COUNTIF($S$3:$S419,"DUE"))</f>
        <v/>
      </c>
    </row>
    <row r="420" customFormat="false" ht="15" hidden="false" customHeight="false" outlineLevel="0" collapsed="false">
      <c r="A420" s="12" t="str">
        <f aca="false">IF($F420="","",ROW()-2)</f>
        <v/>
      </c>
      <c r="B420" s="19"/>
      <c r="C420" s="20"/>
      <c r="D420" s="21"/>
      <c r="E420" s="21"/>
      <c r="F420" s="21"/>
      <c r="G420" s="20"/>
      <c r="H420" s="21"/>
      <c r="I420" s="20"/>
      <c r="J420" s="20"/>
      <c r="K420" s="21"/>
      <c r="L420" s="21"/>
      <c r="M420" s="22" t="str">
        <f aca="false">IF($B420="","",$B420+2)</f>
        <v/>
      </c>
      <c r="N420" s="20"/>
      <c r="O420" s="22" t="str">
        <f aca="false">IF($B420="","",$B420+5)</f>
        <v/>
      </c>
      <c r="P420" s="20"/>
      <c r="Q420" s="22" t="str">
        <f aca="false">IF($B420="","",$B420+10)</f>
        <v/>
      </c>
      <c r="R420" s="20"/>
      <c r="S420" s="23" t="str">
        <f aca="true">IF($B420="","",IF(AND($N420="Y",$P420="Y",$R420="Y"),"Done",IF(OR(AND($M420&lt;=TODAY(),$N420&lt;&gt;"Y"),AND($O420&lt;=TODAY(),$P420&lt;&gt;"Y"),AND($Q420&lt;=TODAY(),$R420&lt;&gt;"Y")),"DUE","Scheduled")))</f>
        <v/>
      </c>
      <c r="T420" s="20"/>
      <c r="U420" s="23" t="str">
        <f aca="false">IF($B420="","",IF(OR($T420&lt;=2,$I420="Editorial"),"REDO",""))</f>
        <v/>
      </c>
      <c r="V420" s="18" t="str">
        <f aca="false">IF($S420&lt;&gt;"DUE","",COUNTIF($S$3:$S420,"DUE"))</f>
        <v/>
      </c>
    </row>
    <row r="421" customFormat="false" ht="15" hidden="false" customHeight="false" outlineLevel="0" collapsed="false">
      <c r="A421" s="12" t="str">
        <f aca="false">IF($F421="","",ROW()-2)</f>
        <v/>
      </c>
      <c r="B421" s="19"/>
      <c r="C421" s="20"/>
      <c r="D421" s="21"/>
      <c r="E421" s="21"/>
      <c r="F421" s="21"/>
      <c r="G421" s="20"/>
      <c r="H421" s="21"/>
      <c r="I421" s="20"/>
      <c r="J421" s="20"/>
      <c r="K421" s="21"/>
      <c r="L421" s="21"/>
      <c r="M421" s="22" t="str">
        <f aca="false">IF($B421="","",$B421+2)</f>
        <v/>
      </c>
      <c r="N421" s="20"/>
      <c r="O421" s="22" t="str">
        <f aca="false">IF($B421="","",$B421+5)</f>
        <v/>
      </c>
      <c r="P421" s="20"/>
      <c r="Q421" s="22" t="str">
        <f aca="false">IF($B421="","",$B421+10)</f>
        <v/>
      </c>
      <c r="R421" s="20"/>
      <c r="S421" s="23" t="str">
        <f aca="true">IF($B421="","",IF(AND($N421="Y",$P421="Y",$R421="Y"),"Done",IF(OR(AND($M421&lt;=TODAY(),$N421&lt;&gt;"Y"),AND($O421&lt;=TODAY(),$P421&lt;&gt;"Y"),AND($Q421&lt;=TODAY(),$R421&lt;&gt;"Y")),"DUE","Scheduled")))</f>
        <v/>
      </c>
      <c r="T421" s="20"/>
      <c r="U421" s="23" t="str">
        <f aca="false">IF($B421="","",IF(OR($T421&lt;=2,$I421="Editorial"),"REDO",""))</f>
        <v/>
      </c>
      <c r="V421" s="18" t="str">
        <f aca="false">IF($S421&lt;&gt;"DUE","",COUNTIF($S$3:$S421,"DUE"))</f>
        <v/>
      </c>
    </row>
    <row r="422" customFormat="false" ht="15" hidden="false" customHeight="false" outlineLevel="0" collapsed="false">
      <c r="A422" s="12" t="str">
        <f aca="false">IF($F422="","",ROW()-2)</f>
        <v/>
      </c>
      <c r="B422" s="19"/>
      <c r="C422" s="20"/>
      <c r="D422" s="21"/>
      <c r="E422" s="21"/>
      <c r="F422" s="21"/>
      <c r="G422" s="20"/>
      <c r="H422" s="21"/>
      <c r="I422" s="20"/>
      <c r="J422" s="20"/>
      <c r="K422" s="21"/>
      <c r="L422" s="21"/>
      <c r="M422" s="22" t="str">
        <f aca="false">IF($B422="","",$B422+2)</f>
        <v/>
      </c>
      <c r="N422" s="20"/>
      <c r="O422" s="22" t="str">
        <f aca="false">IF($B422="","",$B422+5)</f>
        <v/>
      </c>
      <c r="P422" s="20"/>
      <c r="Q422" s="22" t="str">
        <f aca="false">IF($B422="","",$B422+10)</f>
        <v/>
      </c>
      <c r="R422" s="20"/>
      <c r="S422" s="23" t="str">
        <f aca="true">IF($B422="","",IF(AND($N422="Y",$P422="Y",$R422="Y"),"Done",IF(OR(AND($M422&lt;=TODAY(),$N422&lt;&gt;"Y"),AND($O422&lt;=TODAY(),$P422&lt;&gt;"Y"),AND($Q422&lt;=TODAY(),$R422&lt;&gt;"Y")),"DUE","Scheduled")))</f>
        <v/>
      </c>
      <c r="T422" s="20"/>
      <c r="U422" s="23" t="str">
        <f aca="false">IF($B422="","",IF(OR($T422&lt;=2,$I422="Editorial"),"REDO",""))</f>
        <v/>
      </c>
      <c r="V422" s="18" t="str">
        <f aca="false">IF($S422&lt;&gt;"DUE","",COUNTIF($S$3:$S422,"DUE"))</f>
        <v/>
      </c>
    </row>
    <row r="423" customFormat="false" ht="15" hidden="false" customHeight="false" outlineLevel="0" collapsed="false">
      <c r="A423" s="12" t="str">
        <f aca="false">IF($F423="","",ROW()-2)</f>
        <v/>
      </c>
      <c r="B423" s="19"/>
      <c r="C423" s="20"/>
      <c r="D423" s="21"/>
      <c r="E423" s="21"/>
      <c r="F423" s="21"/>
      <c r="G423" s="20"/>
      <c r="H423" s="21"/>
      <c r="I423" s="20"/>
      <c r="J423" s="20"/>
      <c r="K423" s="21"/>
      <c r="L423" s="21"/>
      <c r="M423" s="22" t="str">
        <f aca="false">IF($B423="","",$B423+2)</f>
        <v/>
      </c>
      <c r="N423" s="20"/>
      <c r="O423" s="22" t="str">
        <f aca="false">IF($B423="","",$B423+5)</f>
        <v/>
      </c>
      <c r="P423" s="20"/>
      <c r="Q423" s="22" t="str">
        <f aca="false">IF($B423="","",$B423+10)</f>
        <v/>
      </c>
      <c r="R423" s="20"/>
      <c r="S423" s="23" t="str">
        <f aca="true">IF($B423="","",IF(AND($N423="Y",$P423="Y",$R423="Y"),"Done",IF(OR(AND($M423&lt;=TODAY(),$N423&lt;&gt;"Y"),AND($O423&lt;=TODAY(),$P423&lt;&gt;"Y"),AND($Q423&lt;=TODAY(),$R423&lt;&gt;"Y")),"DUE","Scheduled")))</f>
        <v/>
      </c>
      <c r="T423" s="20"/>
      <c r="U423" s="23" t="str">
        <f aca="false">IF($B423="","",IF(OR($T423&lt;=2,$I423="Editorial"),"REDO",""))</f>
        <v/>
      </c>
      <c r="V423" s="18" t="str">
        <f aca="false">IF($S423&lt;&gt;"DUE","",COUNTIF($S$3:$S423,"DUE"))</f>
        <v/>
      </c>
    </row>
    <row r="424" customFormat="false" ht="15" hidden="false" customHeight="false" outlineLevel="0" collapsed="false">
      <c r="A424" s="12" t="str">
        <f aca="false">IF($F424="","",ROW()-2)</f>
        <v/>
      </c>
      <c r="B424" s="19"/>
      <c r="C424" s="20"/>
      <c r="D424" s="21"/>
      <c r="E424" s="21"/>
      <c r="F424" s="21"/>
      <c r="G424" s="20"/>
      <c r="H424" s="21"/>
      <c r="I424" s="20"/>
      <c r="J424" s="20"/>
      <c r="K424" s="21"/>
      <c r="L424" s="21"/>
      <c r="M424" s="22" t="str">
        <f aca="false">IF($B424="","",$B424+2)</f>
        <v/>
      </c>
      <c r="N424" s="20"/>
      <c r="O424" s="22" t="str">
        <f aca="false">IF($B424="","",$B424+5)</f>
        <v/>
      </c>
      <c r="P424" s="20"/>
      <c r="Q424" s="22" t="str">
        <f aca="false">IF($B424="","",$B424+10)</f>
        <v/>
      </c>
      <c r="R424" s="20"/>
      <c r="S424" s="23" t="str">
        <f aca="true">IF($B424="","",IF(AND($N424="Y",$P424="Y",$R424="Y"),"Done",IF(OR(AND($M424&lt;=TODAY(),$N424&lt;&gt;"Y"),AND($O424&lt;=TODAY(),$P424&lt;&gt;"Y"),AND($Q424&lt;=TODAY(),$R424&lt;&gt;"Y")),"DUE","Scheduled")))</f>
        <v/>
      </c>
      <c r="T424" s="20"/>
      <c r="U424" s="23" t="str">
        <f aca="false">IF($B424="","",IF(OR($T424&lt;=2,$I424="Editorial"),"REDO",""))</f>
        <v/>
      </c>
      <c r="V424" s="18" t="str">
        <f aca="false">IF($S424&lt;&gt;"DUE","",COUNTIF($S$3:$S424,"DUE"))</f>
        <v/>
      </c>
    </row>
    <row r="425" customFormat="false" ht="15" hidden="false" customHeight="false" outlineLevel="0" collapsed="false">
      <c r="A425" s="12" t="str">
        <f aca="false">IF($F425="","",ROW()-2)</f>
        <v/>
      </c>
      <c r="B425" s="19"/>
      <c r="C425" s="20"/>
      <c r="D425" s="21"/>
      <c r="E425" s="21"/>
      <c r="F425" s="21"/>
      <c r="G425" s="20"/>
      <c r="H425" s="21"/>
      <c r="I425" s="20"/>
      <c r="J425" s="20"/>
      <c r="K425" s="21"/>
      <c r="L425" s="21"/>
      <c r="M425" s="22" t="str">
        <f aca="false">IF($B425="","",$B425+2)</f>
        <v/>
      </c>
      <c r="N425" s="20"/>
      <c r="O425" s="22" t="str">
        <f aca="false">IF($B425="","",$B425+5)</f>
        <v/>
      </c>
      <c r="P425" s="20"/>
      <c r="Q425" s="22" t="str">
        <f aca="false">IF($B425="","",$B425+10)</f>
        <v/>
      </c>
      <c r="R425" s="20"/>
      <c r="S425" s="23" t="str">
        <f aca="true">IF($B425="","",IF(AND($N425="Y",$P425="Y",$R425="Y"),"Done",IF(OR(AND($M425&lt;=TODAY(),$N425&lt;&gt;"Y"),AND($O425&lt;=TODAY(),$P425&lt;&gt;"Y"),AND($Q425&lt;=TODAY(),$R425&lt;&gt;"Y")),"DUE","Scheduled")))</f>
        <v/>
      </c>
      <c r="T425" s="20"/>
      <c r="U425" s="23" t="str">
        <f aca="false">IF($B425="","",IF(OR($T425&lt;=2,$I425="Editorial"),"REDO",""))</f>
        <v/>
      </c>
      <c r="V425" s="18" t="str">
        <f aca="false">IF($S425&lt;&gt;"DUE","",COUNTIF($S$3:$S425,"DUE"))</f>
        <v/>
      </c>
    </row>
    <row r="426" customFormat="false" ht="15" hidden="false" customHeight="false" outlineLevel="0" collapsed="false">
      <c r="A426" s="12" t="str">
        <f aca="false">IF($F426="","",ROW()-2)</f>
        <v/>
      </c>
      <c r="B426" s="19"/>
      <c r="C426" s="20"/>
      <c r="D426" s="21"/>
      <c r="E426" s="21"/>
      <c r="F426" s="21"/>
      <c r="G426" s="20"/>
      <c r="H426" s="21"/>
      <c r="I426" s="20"/>
      <c r="J426" s="20"/>
      <c r="K426" s="21"/>
      <c r="L426" s="21"/>
      <c r="M426" s="22" t="str">
        <f aca="false">IF($B426="","",$B426+2)</f>
        <v/>
      </c>
      <c r="N426" s="20"/>
      <c r="O426" s="22" t="str">
        <f aca="false">IF($B426="","",$B426+5)</f>
        <v/>
      </c>
      <c r="P426" s="20"/>
      <c r="Q426" s="22" t="str">
        <f aca="false">IF($B426="","",$B426+10)</f>
        <v/>
      </c>
      <c r="R426" s="20"/>
      <c r="S426" s="23" t="str">
        <f aca="true">IF($B426="","",IF(AND($N426="Y",$P426="Y",$R426="Y"),"Done",IF(OR(AND($M426&lt;=TODAY(),$N426&lt;&gt;"Y"),AND($O426&lt;=TODAY(),$P426&lt;&gt;"Y"),AND($Q426&lt;=TODAY(),$R426&lt;&gt;"Y")),"DUE","Scheduled")))</f>
        <v/>
      </c>
      <c r="T426" s="20"/>
      <c r="U426" s="23" t="str">
        <f aca="false">IF($B426="","",IF(OR($T426&lt;=2,$I426="Editorial"),"REDO",""))</f>
        <v/>
      </c>
      <c r="V426" s="18" t="str">
        <f aca="false">IF($S426&lt;&gt;"DUE","",COUNTIF($S$3:$S426,"DUE"))</f>
        <v/>
      </c>
    </row>
    <row r="427" customFormat="false" ht="15" hidden="false" customHeight="false" outlineLevel="0" collapsed="false">
      <c r="A427" s="12" t="str">
        <f aca="false">IF($F427="","",ROW()-2)</f>
        <v/>
      </c>
      <c r="B427" s="19"/>
      <c r="C427" s="20"/>
      <c r="D427" s="21"/>
      <c r="E427" s="21"/>
      <c r="F427" s="21"/>
      <c r="G427" s="20"/>
      <c r="H427" s="21"/>
      <c r="I427" s="20"/>
      <c r="J427" s="20"/>
      <c r="K427" s="21"/>
      <c r="L427" s="21"/>
      <c r="M427" s="22" t="str">
        <f aca="false">IF($B427="","",$B427+2)</f>
        <v/>
      </c>
      <c r="N427" s="20"/>
      <c r="O427" s="22" t="str">
        <f aca="false">IF($B427="","",$B427+5)</f>
        <v/>
      </c>
      <c r="P427" s="20"/>
      <c r="Q427" s="22" t="str">
        <f aca="false">IF($B427="","",$B427+10)</f>
        <v/>
      </c>
      <c r="R427" s="20"/>
      <c r="S427" s="23" t="str">
        <f aca="true">IF($B427="","",IF(AND($N427="Y",$P427="Y",$R427="Y"),"Done",IF(OR(AND($M427&lt;=TODAY(),$N427&lt;&gt;"Y"),AND($O427&lt;=TODAY(),$P427&lt;&gt;"Y"),AND($Q427&lt;=TODAY(),$R427&lt;&gt;"Y")),"DUE","Scheduled")))</f>
        <v/>
      </c>
      <c r="T427" s="20"/>
      <c r="U427" s="23" t="str">
        <f aca="false">IF($B427="","",IF(OR($T427&lt;=2,$I427="Editorial"),"REDO",""))</f>
        <v/>
      </c>
      <c r="V427" s="18" t="str">
        <f aca="false">IF($S427&lt;&gt;"DUE","",COUNTIF($S$3:$S427,"DUE"))</f>
        <v/>
      </c>
    </row>
    <row r="428" customFormat="false" ht="15" hidden="false" customHeight="false" outlineLevel="0" collapsed="false">
      <c r="A428" s="12" t="str">
        <f aca="false">IF($F428="","",ROW()-2)</f>
        <v/>
      </c>
      <c r="B428" s="19"/>
      <c r="C428" s="20"/>
      <c r="D428" s="21"/>
      <c r="E428" s="21"/>
      <c r="F428" s="21"/>
      <c r="G428" s="20"/>
      <c r="H428" s="21"/>
      <c r="I428" s="20"/>
      <c r="J428" s="20"/>
      <c r="K428" s="21"/>
      <c r="L428" s="21"/>
      <c r="M428" s="22" t="str">
        <f aca="false">IF($B428="","",$B428+2)</f>
        <v/>
      </c>
      <c r="N428" s="20"/>
      <c r="O428" s="22" t="str">
        <f aca="false">IF($B428="","",$B428+5)</f>
        <v/>
      </c>
      <c r="P428" s="20"/>
      <c r="Q428" s="22" t="str">
        <f aca="false">IF($B428="","",$B428+10)</f>
        <v/>
      </c>
      <c r="R428" s="20"/>
      <c r="S428" s="23" t="str">
        <f aca="true">IF($B428="","",IF(AND($N428="Y",$P428="Y",$R428="Y"),"Done",IF(OR(AND($M428&lt;=TODAY(),$N428&lt;&gt;"Y"),AND($O428&lt;=TODAY(),$P428&lt;&gt;"Y"),AND($Q428&lt;=TODAY(),$R428&lt;&gt;"Y")),"DUE","Scheduled")))</f>
        <v/>
      </c>
      <c r="T428" s="20"/>
      <c r="U428" s="23" t="str">
        <f aca="false">IF($B428="","",IF(OR($T428&lt;=2,$I428="Editorial"),"REDO",""))</f>
        <v/>
      </c>
      <c r="V428" s="18" t="str">
        <f aca="false">IF($S428&lt;&gt;"DUE","",COUNTIF($S$3:$S428,"DUE"))</f>
        <v/>
      </c>
    </row>
    <row r="429" customFormat="false" ht="15" hidden="false" customHeight="false" outlineLevel="0" collapsed="false">
      <c r="A429" s="12" t="str">
        <f aca="false">IF($F429="","",ROW()-2)</f>
        <v/>
      </c>
      <c r="B429" s="19"/>
      <c r="C429" s="20"/>
      <c r="D429" s="21"/>
      <c r="E429" s="21"/>
      <c r="F429" s="21"/>
      <c r="G429" s="20"/>
      <c r="H429" s="21"/>
      <c r="I429" s="20"/>
      <c r="J429" s="20"/>
      <c r="K429" s="21"/>
      <c r="L429" s="21"/>
      <c r="M429" s="22" t="str">
        <f aca="false">IF($B429="","",$B429+2)</f>
        <v/>
      </c>
      <c r="N429" s="20"/>
      <c r="O429" s="22" t="str">
        <f aca="false">IF($B429="","",$B429+5)</f>
        <v/>
      </c>
      <c r="P429" s="20"/>
      <c r="Q429" s="22" t="str">
        <f aca="false">IF($B429="","",$B429+10)</f>
        <v/>
      </c>
      <c r="R429" s="20"/>
      <c r="S429" s="23" t="str">
        <f aca="true">IF($B429="","",IF(AND($N429="Y",$P429="Y",$R429="Y"),"Done",IF(OR(AND($M429&lt;=TODAY(),$N429&lt;&gt;"Y"),AND($O429&lt;=TODAY(),$P429&lt;&gt;"Y"),AND($Q429&lt;=TODAY(),$R429&lt;&gt;"Y")),"DUE","Scheduled")))</f>
        <v/>
      </c>
      <c r="T429" s="20"/>
      <c r="U429" s="23" t="str">
        <f aca="false">IF($B429="","",IF(OR($T429&lt;=2,$I429="Editorial"),"REDO",""))</f>
        <v/>
      </c>
      <c r="V429" s="18" t="str">
        <f aca="false">IF($S429&lt;&gt;"DUE","",COUNTIF($S$3:$S429,"DUE"))</f>
        <v/>
      </c>
    </row>
    <row r="430" customFormat="false" ht="15" hidden="false" customHeight="false" outlineLevel="0" collapsed="false">
      <c r="A430" s="12" t="str">
        <f aca="false">IF($F430="","",ROW()-2)</f>
        <v/>
      </c>
      <c r="B430" s="19"/>
      <c r="C430" s="20"/>
      <c r="D430" s="21"/>
      <c r="E430" s="21"/>
      <c r="F430" s="21"/>
      <c r="G430" s="20"/>
      <c r="H430" s="21"/>
      <c r="I430" s="20"/>
      <c r="J430" s="20"/>
      <c r="K430" s="21"/>
      <c r="L430" s="21"/>
      <c r="M430" s="22" t="str">
        <f aca="false">IF($B430="","",$B430+2)</f>
        <v/>
      </c>
      <c r="N430" s="20"/>
      <c r="O430" s="22" t="str">
        <f aca="false">IF($B430="","",$B430+5)</f>
        <v/>
      </c>
      <c r="P430" s="20"/>
      <c r="Q430" s="22" t="str">
        <f aca="false">IF($B430="","",$B430+10)</f>
        <v/>
      </c>
      <c r="R430" s="20"/>
      <c r="S430" s="23" t="str">
        <f aca="true">IF($B430="","",IF(AND($N430="Y",$P430="Y",$R430="Y"),"Done",IF(OR(AND($M430&lt;=TODAY(),$N430&lt;&gt;"Y"),AND($O430&lt;=TODAY(),$P430&lt;&gt;"Y"),AND($Q430&lt;=TODAY(),$R430&lt;&gt;"Y")),"DUE","Scheduled")))</f>
        <v/>
      </c>
      <c r="T430" s="20"/>
      <c r="U430" s="23" t="str">
        <f aca="false">IF($B430="","",IF(OR($T430&lt;=2,$I430="Editorial"),"REDO",""))</f>
        <v/>
      </c>
      <c r="V430" s="18" t="str">
        <f aca="false">IF($S430&lt;&gt;"DUE","",COUNTIF($S$3:$S430,"DUE"))</f>
        <v/>
      </c>
    </row>
    <row r="431" customFormat="false" ht="15" hidden="false" customHeight="false" outlineLevel="0" collapsed="false">
      <c r="A431" s="12" t="str">
        <f aca="false">IF($F431="","",ROW()-2)</f>
        <v/>
      </c>
      <c r="B431" s="19"/>
      <c r="C431" s="20"/>
      <c r="D431" s="21"/>
      <c r="E431" s="21"/>
      <c r="F431" s="21"/>
      <c r="G431" s="20"/>
      <c r="H431" s="21"/>
      <c r="I431" s="20"/>
      <c r="J431" s="20"/>
      <c r="K431" s="21"/>
      <c r="L431" s="21"/>
      <c r="M431" s="22" t="str">
        <f aca="false">IF($B431="","",$B431+2)</f>
        <v/>
      </c>
      <c r="N431" s="20"/>
      <c r="O431" s="22" t="str">
        <f aca="false">IF($B431="","",$B431+5)</f>
        <v/>
      </c>
      <c r="P431" s="20"/>
      <c r="Q431" s="22" t="str">
        <f aca="false">IF($B431="","",$B431+10)</f>
        <v/>
      </c>
      <c r="R431" s="20"/>
      <c r="S431" s="23" t="str">
        <f aca="true">IF($B431="","",IF(AND($N431="Y",$P431="Y",$R431="Y"),"Done",IF(OR(AND($M431&lt;=TODAY(),$N431&lt;&gt;"Y"),AND($O431&lt;=TODAY(),$P431&lt;&gt;"Y"),AND($Q431&lt;=TODAY(),$R431&lt;&gt;"Y")),"DUE","Scheduled")))</f>
        <v/>
      </c>
      <c r="T431" s="20"/>
      <c r="U431" s="23" t="str">
        <f aca="false">IF($B431="","",IF(OR($T431&lt;=2,$I431="Editorial"),"REDO",""))</f>
        <v/>
      </c>
      <c r="V431" s="18" t="str">
        <f aca="false">IF($S431&lt;&gt;"DUE","",COUNTIF($S$3:$S431,"DUE"))</f>
        <v/>
      </c>
    </row>
    <row r="432" customFormat="false" ht="15" hidden="false" customHeight="false" outlineLevel="0" collapsed="false">
      <c r="A432" s="12" t="str">
        <f aca="false">IF($F432="","",ROW()-2)</f>
        <v/>
      </c>
      <c r="B432" s="19"/>
      <c r="C432" s="20"/>
      <c r="D432" s="21"/>
      <c r="E432" s="21"/>
      <c r="F432" s="21"/>
      <c r="G432" s="20"/>
      <c r="H432" s="21"/>
      <c r="I432" s="20"/>
      <c r="J432" s="20"/>
      <c r="K432" s="21"/>
      <c r="L432" s="21"/>
      <c r="M432" s="22" t="str">
        <f aca="false">IF($B432="","",$B432+2)</f>
        <v/>
      </c>
      <c r="N432" s="20"/>
      <c r="O432" s="22" t="str">
        <f aca="false">IF($B432="","",$B432+5)</f>
        <v/>
      </c>
      <c r="P432" s="20"/>
      <c r="Q432" s="22" t="str">
        <f aca="false">IF($B432="","",$B432+10)</f>
        <v/>
      </c>
      <c r="R432" s="20"/>
      <c r="S432" s="23" t="str">
        <f aca="true">IF($B432="","",IF(AND($N432="Y",$P432="Y",$R432="Y"),"Done",IF(OR(AND($M432&lt;=TODAY(),$N432&lt;&gt;"Y"),AND($O432&lt;=TODAY(),$P432&lt;&gt;"Y"),AND($Q432&lt;=TODAY(),$R432&lt;&gt;"Y")),"DUE","Scheduled")))</f>
        <v/>
      </c>
      <c r="T432" s="20"/>
      <c r="U432" s="23" t="str">
        <f aca="false">IF($B432="","",IF(OR($T432&lt;=2,$I432="Editorial"),"REDO",""))</f>
        <v/>
      </c>
      <c r="V432" s="18" t="str">
        <f aca="false">IF($S432&lt;&gt;"DUE","",COUNTIF($S$3:$S432,"DUE"))</f>
        <v/>
      </c>
    </row>
    <row r="433" customFormat="false" ht="15" hidden="false" customHeight="false" outlineLevel="0" collapsed="false">
      <c r="A433" s="12" t="str">
        <f aca="false">IF($F433="","",ROW()-2)</f>
        <v/>
      </c>
      <c r="B433" s="19"/>
      <c r="C433" s="20"/>
      <c r="D433" s="21"/>
      <c r="E433" s="21"/>
      <c r="F433" s="21"/>
      <c r="G433" s="20"/>
      <c r="H433" s="21"/>
      <c r="I433" s="20"/>
      <c r="J433" s="20"/>
      <c r="K433" s="21"/>
      <c r="L433" s="21"/>
      <c r="M433" s="22" t="str">
        <f aca="false">IF($B433="","",$B433+2)</f>
        <v/>
      </c>
      <c r="N433" s="20"/>
      <c r="O433" s="22" t="str">
        <f aca="false">IF($B433="","",$B433+5)</f>
        <v/>
      </c>
      <c r="P433" s="20"/>
      <c r="Q433" s="22" t="str">
        <f aca="false">IF($B433="","",$B433+10)</f>
        <v/>
      </c>
      <c r="R433" s="20"/>
      <c r="S433" s="23" t="str">
        <f aca="true">IF($B433="","",IF(AND($N433="Y",$P433="Y",$R433="Y"),"Done",IF(OR(AND($M433&lt;=TODAY(),$N433&lt;&gt;"Y"),AND($O433&lt;=TODAY(),$P433&lt;&gt;"Y"),AND($Q433&lt;=TODAY(),$R433&lt;&gt;"Y")),"DUE","Scheduled")))</f>
        <v/>
      </c>
      <c r="T433" s="20"/>
      <c r="U433" s="23" t="str">
        <f aca="false">IF($B433="","",IF(OR($T433&lt;=2,$I433="Editorial"),"REDO",""))</f>
        <v/>
      </c>
      <c r="V433" s="18" t="str">
        <f aca="false">IF($S433&lt;&gt;"DUE","",COUNTIF($S$3:$S433,"DUE"))</f>
        <v/>
      </c>
    </row>
    <row r="434" customFormat="false" ht="15" hidden="false" customHeight="false" outlineLevel="0" collapsed="false">
      <c r="A434" s="12" t="str">
        <f aca="false">IF($F434="","",ROW()-2)</f>
        <v/>
      </c>
      <c r="B434" s="19"/>
      <c r="C434" s="20"/>
      <c r="D434" s="21"/>
      <c r="E434" s="21"/>
      <c r="F434" s="21"/>
      <c r="G434" s="20"/>
      <c r="H434" s="21"/>
      <c r="I434" s="20"/>
      <c r="J434" s="20"/>
      <c r="K434" s="21"/>
      <c r="L434" s="21"/>
      <c r="M434" s="22" t="str">
        <f aca="false">IF($B434="","",$B434+2)</f>
        <v/>
      </c>
      <c r="N434" s="20"/>
      <c r="O434" s="22" t="str">
        <f aca="false">IF($B434="","",$B434+5)</f>
        <v/>
      </c>
      <c r="P434" s="20"/>
      <c r="Q434" s="22" t="str">
        <f aca="false">IF($B434="","",$B434+10)</f>
        <v/>
      </c>
      <c r="R434" s="20"/>
      <c r="S434" s="23" t="str">
        <f aca="true">IF($B434="","",IF(AND($N434="Y",$P434="Y",$R434="Y"),"Done",IF(OR(AND($M434&lt;=TODAY(),$N434&lt;&gt;"Y"),AND($O434&lt;=TODAY(),$P434&lt;&gt;"Y"),AND($Q434&lt;=TODAY(),$R434&lt;&gt;"Y")),"DUE","Scheduled")))</f>
        <v/>
      </c>
      <c r="T434" s="20"/>
      <c r="U434" s="23" t="str">
        <f aca="false">IF($B434="","",IF(OR($T434&lt;=2,$I434="Editorial"),"REDO",""))</f>
        <v/>
      </c>
      <c r="V434" s="18" t="str">
        <f aca="false">IF($S434&lt;&gt;"DUE","",COUNTIF($S$3:$S434,"DUE"))</f>
        <v/>
      </c>
    </row>
    <row r="435" customFormat="false" ht="15" hidden="false" customHeight="false" outlineLevel="0" collapsed="false">
      <c r="A435" s="12" t="str">
        <f aca="false">IF($F435="","",ROW()-2)</f>
        <v/>
      </c>
      <c r="B435" s="19"/>
      <c r="C435" s="20"/>
      <c r="D435" s="21"/>
      <c r="E435" s="21"/>
      <c r="F435" s="21"/>
      <c r="G435" s="20"/>
      <c r="H435" s="21"/>
      <c r="I435" s="20"/>
      <c r="J435" s="20"/>
      <c r="K435" s="21"/>
      <c r="L435" s="21"/>
      <c r="M435" s="22" t="str">
        <f aca="false">IF($B435="","",$B435+2)</f>
        <v/>
      </c>
      <c r="N435" s="20"/>
      <c r="O435" s="22" t="str">
        <f aca="false">IF($B435="","",$B435+5)</f>
        <v/>
      </c>
      <c r="P435" s="20"/>
      <c r="Q435" s="22" t="str">
        <f aca="false">IF($B435="","",$B435+10)</f>
        <v/>
      </c>
      <c r="R435" s="20"/>
      <c r="S435" s="23" t="str">
        <f aca="true">IF($B435="","",IF(AND($N435="Y",$P435="Y",$R435="Y"),"Done",IF(OR(AND($M435&lt;=TODAY(),$N435&lt;&gt;"Y"),AND($O435&lt;=TODAY(),$P435&lt;&gt;"Y"),AND($Q435&lt;=TODAY(),$R435&lt;&gt;"Y")),"DUE","Scheduled")))</f>
        <v/>
      </c>
      <c r="T435" s="20"/>
      <c r="U435" s="23" t="str">
        <f aca="false">IF($B435="","",IF(OR($T435&lt;=2,$I435="Editorial"),"REDO",""))</f>
        <v/>
      </c>
      <c r="V435" s="18" t="str">
        <f aca="false">IF($S435&lt;&gt;"DUE","",COUNTIF($S$3:$S435,"DUE"))</f>
        <v/>
      </c>
    </row>
    <row r="436" customFormat="false" ht="15" hidden="false" customHeight="false" outlineLevel="0" collapsed="false">
      <c r="A436" s="12" t="str">
        <f aca="false">IF($F436="","",ROW()-2)</f>
        <v/>
      </c>
      <c r="B436" s="19"/>
      <c r="C436" s="20"/>
      <c r="D436" s="21"/>
      <c r="E436" s="21"/>
      <c r="F436" s="21"/>
      <c r="G436" s="20"/>
      <c r="H436" s="21"/>
      <c r="I436" s="20"/>
      <c r="J436" s="20"/>
      <c r="K436" s="21"/>
      <c r="L436" s="21"/>
      <c r="M436" s="22" t="str">
        <f aca="false">IF($B436="","",$B436+2)</f>
        <v/>
      </c>
      <c r="N436" s="20"/>
      <c r="O436" s="22" t="str">
        <f aca="false">IF($B436="","",$B436+5)</f>
        <v/>
      </c>
      <c r="P436" s="20"/>
      <c r="Q436" s="22" t="str">
        <f aca="false">IF($B436="","",$B436+10)</f>
        <v/>
      </c>
      <c r="R436" s="20"/>
      <c r="S436" s="23" t="str">
        <f aca="true">IF($B436="","",IF(AND($N436="Y",$P436="Y",$R436="Y"),"Done",IF(OR(AND($M436&lt;=TODAY(),$N436&lt;&gt;"Y"),AND($O436&lt;=TODAY(),$P436&lt;&gt;"Y"),AND($Q436&lt;=TODAY(),$R436&lt;&gt;"Y")),"DUE","Scheduled")))</f>
        <v/>
      </c>
      <c r="T436" s="20"/>
      <c r="U436" s="23" t="str">
        <f aca="false">IF($B436="","",IF(OR($T436&lt;=2,$I436="Editorial"),"REDO",""))</f>
        <v/>
      </c>
      <c r="V436" s="18" t="str">
        <f aca="false">IF($S436&lt;&gt;"DUE","",COUNTIF($S$3:$S436,"DUE"))</f>
        <v/>
      </c>
    </row>
    <row r="437" customFormat="false" ht="15" hidden="false" customHeight="false" outlineLevel="0" collapsed="false">
      <c r="A437" s="12" t="str">
        <f aca="false">IF($F437="","",ROW()-2)</f>
        <v/>
      </c>
      <c r="B437" s="19"/>
      <c r="C437" s="20"/>
      <c r="D437" s="21"/>
      <c r="E437" s="21"/>
      <c r="F437" s="21"/>
      <c r="G437" s="20"/>
      <c r="H437" s="21"/>
      <c r="I437" s="20"/>
      <c r="J437" s="20"/>
      <c r="K437" s="21"/>
      <c r="L437" s="21"/>
      <c r="M437" s="22" t="str">
        <f aca="false">IF($B437="","",$B437+2)</f>
        <v/>
      </c>
      <c r="N437" s="20"/>
      <c r="O437" s="22" t="str">
        <f aca="false">IF($B437="","",$B437+5)</f>
        <v/>
      </c>
      <c r="P437" s="20"/>
      <c r="Q437" s="22" t="str">
        <f aca="false">IF($B437="","",$B437+10)</f>
        <v/>
      </c>
      <c r="R437" s="20"/>
      <c r="S437" s="23" t="str">
        <f aca="true">IF($B437="","",IF(AND($N437="Y",$P437="Y",$R437="Y"),"Done",IF(OR(AND($M437&lt;=TODAY(),$N437&lt;&gt;"Y"),AND($O437&lt;=TODAY(),$P437&lt;&gt;"Y"),AND($Q437&lt;=TODAY(),$R437&lt;&gt;"Y")),"DUE","Scheduled")))</f>
        <v/>
      </c>
      <c r="T437" s="20"/>
      <c r="U437" s="23" t="str">
        <f aca="false">IF($B437="","",IF(OR($T437&lt;=2,$I437="Editorial"),"REDO",""))</f>
        <v/>
      </c>
      <c r="V437" s="18" t="str">
        <f aca="false">IF($S437&lt;&gt;"DUE","",COUNTIF($S$3:$S437,"DUE"))</f>
        <v/>
      </c>
    </row>
    <row r="438" customFormat="false" ht="15" hidden="false" customHeight="false" outlineLevel="0" collapsed="false">
      <c r="A438" s="12" t="str">
        <f aca="false">IF($F438="","",ROW()-2)</f>
        <v/>
      </c>
      <c r="B438" s="19"/>
      <c r="C438" s="20"/>
      <c r="D438" s="21"/>
      <c r="E438" s="21"/>
      <c r="F438" s="21"/>
      <c r="G438" s="20"/>
      <c r="H438" s="21"/>
      <c r="I438" s="20"/>
      <c r="J438" s="20"/>
      <c r="K438" s="21"/>
      <c r="L438" s="21"/>
      <c r="M438" s="22" t="str">
        <f aca="false">IF($B438="","",$B438+2)</f>
        <v/>
      </c>
      <c r="N438" s="20"/>
      <c r="O438" s="22" t="str">
        <f aca="false">IF($B438="","",$B438+5)</f>
        <v/>
      </c>
      <c r="P438" s="20"/>
      <c r="Q438" s="22" t="str">
        <f aca="false">IF($B438="","",$B438+10)</f>
        <v/>
      </c>
      <c r="R438" s="20"/>
      <c r="S438" s="23" t="str">
        <f aca="true">IF($B438="","",IF(AND($N438="Y",$P438="Y",$R438="Y"),"Done",IF(OR(AND($M438&lt;=TODAY(),$N438&lt;&gt;"Y"),AND($O438&lt;=TODAY(),$P438&lt;&gt;"Y"),AND($Q438&lt;=TODAY(),$R438&lt;&gt;"Y")),"DUE","Scheduled")))</f>
        <v/>
      </c>
      <c r="T438" s="20"/>
      <c r="U438" s="23" t="str">
        <f aca="false">IF($B438="","",IF(OR($T438&lt;=2,$I438="Editorial"),"REDO",""))</f>
        <v/>
      </c>
      <c r="V438" s="18" t="str">
        <f aca="false">IF($S438&lt;&gt;"DUE","",COUNTIF($S$3:$S438,"DUE"))</f>
        <v/>
      </c>
    </row>
    <row r="439" customFormat="false" ht="15" hidden="false" customHeight="false" outlineLevel="0" collapsed="false">
      <c r="A439" s="12" t="str">
        <f aca="false">IF($F439="","",ROW()-2)</f>
        <v/>
      </c>
      <c r="B439" s="19"/>
      <c r="C439" s="20"/>
      <c r="D439" s="21"/>
      <c r="E439" s="21"/>
      <c r="F439" s="21"/>
      <c r="G439" s="20"/>
      <c r="H439" s="21"/>
      <c r="I439" s="20"/>
      <c r="J439" s="20"/>
      <c r="K439" s="21"/>
      <c r="L439" s="21"/>
      <c r="M439" s="22" t="str">
        <f aca="false">IF($B439="","",$B439+2)</f>
        <v/>
      </c>
      <c r="N439" s="20"/>
      <c r="O439" s="22" t="str">
        <f aca="false">IF($B439="","",$B439+5)</f>
        <v/>
      </c>
      <c r="P439" s="20"/>
      <c r="Q439" s="22" t="str">
        <f aca="false">IF($B439="","",$B439+10)</f>
        <v/>
      </c>
      <c r="R439" s="20"/>
      <c r="S439" s="23" t="str">
        <f aca="true">IF($B439="","",IF(AND($N439="Y",$P439="Y",$R439="Y"),"Done",IF(OR(AND($M439&lt;=TODAY(),$N439&lt;&gt;"Y"),AND($O439&lt;=TODAY(),$P439&lt;&gt;"Y"),AND($Q439&lt;=TODAY(),$R439&lt;&gt;"Y")),"DUE","Scheduled")))</f>
        <v/>
      </c>
      <c r="T439" s="20"/>
      <c r="U439" s="23" t="str">
        <f aca="false">IF($B439="","",IF(OR($T439&lt;=2,$I439="Editorial"),"REDO",""))</f>
        <v/>
      </c>
      <c r="V439" s="18" t="str">
        <f aca="false">IF($S439&lt;&gt;"DUE","",COUNTIF($S$3:$S439,"DUE"))</f>
        <v/>
      </c>
    </row>
    <row r="440" customFormat="false" ht="15" hidden="false" customHeight="false" outlineLevel="0" collapsed="false">
      <c r="A440" s="12" t="str">
        <f aca="false">IF($F440="","",ROW()-2)</f>
        <v/>
      </c>
      <c r="B440" s="19"/>
      <c r="C440" s="20"/>
      <c r="D440" s="21"/>
      <c r="E440" s="21"/>
      <c r="F440" s="21"/>
      <c r="G440" s="20"/>
      <c r="H440" s="21"/>
      <c r="I440" s="20"/>
      <c r="J440" s="20"/>
      <c r="K440" s="21"/>
      <c r="L440" s="21"/>
      <c r="M440" s="22" t="str">
        <f aca="false">IF($B440="","",$B440+2)</f>
        <v/>
      </c>
      <c r="N440" s="20"/>
      <c r="O440" s="22" t="str">
        <f aca="false">IF($B440="","",$B440+5)</f>
        <v/>
      </c>
      <c r="P440" s="20"/>
      <c r="Q440" s="22" t="str">
        <f aca="false">IF($B440="","",$B440+10)</f>
        <v/>
      </c>
      <c r="R440" s="20"/>
      <c r="S440" s="23" t="str">
        <f aca="true">IF($B440="","",IF(AND($N440="Y",$P440="Y",$R440="Y"),"Done",IF(OR(AND($M440&lt;=TODAY(),$N440&lt;&gt;"Y"),AND($O440&lt;=TODAY(),$P440&lt;&gt;"Y"),AND($Q440&lt;=TODAY(),$R440&lt;&gt;"Y")),"DUE","Scheduled")))</f>
        <v/>
      </c>
      <c r="T440" s="20"/>
      <c r="U440" s="23" t="str">
        <f aca="false">IF($B440="","",IF(OR($T440&lt;=2,$I440="Editorial"),"REDO",""))</f>
        <v/>
      </c>
      <c r="V440" s="18" t="str">
        <f aca="false">IF($S440&lt;&gt;"DUE","",COUNTIF($S$3:$S440,"DUE"))</f>
        <v/>
      </c>
    </row>
    <row r="441" customFormat="false" ht="15" hidden="false" customHeight="false" outlineLevel="0" collapsed="false">
      <c r="A441" s="12" t="str">
        <f aca="false">IF($F441="","",ROW()-2)</f>
        <v/>
      </c>
      <c r="B441" s="19"/>
      <c r="C441" s="20"/>
      <c r="D441" s="21"/>
      <c r="E441" s="21"/>
      <c r="F441" s="21"/>
      <c r="G441" s="20"/>
      <c r="H441" s="21"/>
      <c r="I441" s="20"/>
      <c r="J441" s="20"/>
      <c r="K441" s="21"/>
      <c r="L441" s="21"/>
      <c r="M441" s="22" t="str">
        <f aca="false">IF($B441="","",$B441+2)</f>
        <v/>
      </c>
      <c r="N441" s="20"/>
      <c r="O441" s="22" t="str">
        <f aca="false">IF($B441="","",$B441+5)</f>
        <v/>
      </c>
      <c r="P441" s="20"/>
      <c r="Q441" s="22" t="str">
        <f aca="false">IF($B441="","",$B441+10)</f>
        <v/>
      </c>
      <c r="R441" s="20"/>
      <c r="S441" s="23" t="str">
        <f aca="true">IF($B441="","",IF(AND($N441="Y",$P441="Y",$R441="Y"),"Done",IF(OR(AND($M441&lt;=TODAY(),$N441&lt;&gt;"Y"),AND($O441&lt;=TODAY(),$P441&lt;&gt;"Y"),AND($Q441&lt;=TODAY(),$R441&lt;&gt;"Y")),"DUE","Scheduled")))</f>
        <v/>
      </c>
      <c r="T441" s="20"/>
      <c r="U441" s="23" t="str">
        <f aca="false">IF($B441="","",IF(OR($T441&lt;=2,$I441="Editorial"),"REDO",""))</f>
        <v/>
      </c>
      <c r="V441" s="18" t="str">
        <f aca="false">IF($S441&lt;&gt;"DUE","",COUNTIF($S$3:$S441,"DUE"))</f>
        <v/>
      </c>
    </row>
    <row r="442" customFormat="false" ht="15" hidden="false" customHeight="false" outlineLevel="0" collapsed="false">
      <c r="A442" s="12" t="str">
        <f aca="false">IF($F442="","",ROW()-2)</f>
        <v/>
      </c>
      <c r="B442" s="19"/>
      <c r="C442" s="20"/>
      <c r="D442" s="21"/>
      <c r="E442" s="21"/>
      <c r="F442" s="21"/>
      <c r="G442" s="20"/>
      <c r="H442" s="21"/>
      <c r="I442" s="20"/>
      <c r="J442" s="20"/>
      <c r="K442" s="21"/>
      <c r="L442" s="21"/>
      <c r="M442" s="22" t="str">
        <f aca="false">IF($B442="","",$B442+2)</f>
        <v/>
      </c>
      <c r="N442" s="20"/>
      <c r="O442" s="22" t="str">
        <f aca="false">IF($B442="","",$B442+5)</f>
        <v/>
      </c>
      <c r="P442" s="20"/>
      <c r="Q442" s="22" t="str">
        <f aca="false">IF($B442="","",$B442+10)</f>
        <v/>
      </c>
      <c r="R442" s="20"/>
      <c r="S442" s="23" t="str">
        <f aca="true">IF($B442="","",IF(AND($N442="Y",$P442="Y",$R442="Y"),"Done",IF(OR(AND($M442&lt;=TODAY(),$N442&lt;&gt;"Y"),AND($O442&lt;=TODAY(),$P442&lt;&gt;"Y"),AND($Q442&lt;=TODAY(),$R442&lt;&gt;"Y")),"DUE","Scheduled")))</f>
        <v/>
      </c>
      <c r="T442" s="20"/>
      <c r="U442" s="23" t="str">
        <f aca="false">IF($B442="","",IF(OR($T442&lt;=2,$I442="Editorial"),"REDO",""))</f>
        <v/>
      </c>
      <c r="V442" s="18" t="str">
        <f aca="false">IF($S442&lt;&gt;"DUE","",COUNTIF($S$3:$S442,"DUE"))</f>
        <v/>
      </c>
    </row>
    <row r="443" customFormat="false" ht="15" hidden="false" customHeight="false" outlineLevel="0" collapsed="false">
      <c r="A443" s="12" t="str">
        <f aca="false">IF($F443="","",ROW()-2)</f>
        <v/>
      </c>
      <c r="B443" s="19"/>
      <c r="C443" s="20"/>
      <c r="D443" s="21"/>
      <c r="E443" s="21"/>
      <c r="F443" s="21"/>
      <c r="G443" s="20"/>
      <c r="H443" s="21"/>
      <c r="I443" s="20"/>
      <c r="J443" s="20"/>
      <c r="K443" s="21"/>
      <c r="L443" s="21"/>
      <c r="M443" s="22" t="str">
        <f aca="false">IF($B443="","",$B443+2)</f>
        <v/>
      </c>
      <c r="N443" s="20"/>
      <c r="O443" s="22" t="str">
        <f aca="false">IF($B443="","",$B443+5)</f>
        <v/>
      </c>
      <c r="P443" s="20"/>
      <c r="Q443" s="22" t="str">
        <f aca="false">IF($B443="","",$B443+10)</f>
        <v/>
      </c>
      <c r="R443" s="20"/>
      <c r="S443" s="23" t="str">
        <f aca="true">IF($B443="","",IF(AND($N443="Y",$P443="Y",$R443="Y"),"Done",IF(OR(AND($M443&lt;=TODAY(),$N443&lt;&gt;"Y"),AND($O443&lt;=TODAY(),$P443&lt;&gt;"Y"),AND($Q443&lt;=TODAY(),$R443&lt;&gt;"Y")),"DUE","Scheduled")))</f>
        <v/>
      </c>
      <c r="T443" s="20"/>
      <c r="U443" s="23" t="str">
        <f aca="false">IF($B443="","",IF(OR($T443&lt;=2,$I443="Editorial"),"REDO",""))</f>
        <v/>
      </c>
      <c r="V443" s="18" t="str">
        <f aca="false">IF($S443&lt;&gt;"DUE","",COUNTIF($S$3:$S443,"DUE"))</f>
        <v/>
      </c>
    </row>
    <row r="444" customFormat="false" ht="15" hidden="false" customHeight="false" outlineLevel="0" collapsed="false">
      <c r="A444" s="12" t="str">
        <f aca="false">IF($F444="","",ROW()-2)</f>
        <v/>
      </c>
      <c r="B444" s="19"/>
      <c r="C444" s="20"/>
      <c r="D444" s="21"/>
      <c r="E444" s="21"/>
      <c r="F444" s="21"/>
      <c r="G444" s="20"/>
      <c r="H444" s="21"/>
      <c r="I444" s="20"/>
      <c r="J444" s="20"/>
      <c r="K444" s="21"/>
      <c r="L444" s="21"/>
      <c r="M444" s="22" t="str">
        <f aca="false">IF($B444="","",$B444+2)</f>
        <v/>
      </c>
      <c r="N444" s="20"/>
      <c r="O444" s="22" t="str">
        <f aca="false">IF($B444="","",$B444+5)</f>
        <v/>
      </c>
      <c r="P444" s="20"/>
      <c r="Q444" s="22" t="str">
        <f aca="false">IF($B444="","",$B444+10)</f>
        <v/>
      </c>
      <c r="R444" s="20"/>
      <c r="S444" s="23" t="str">
        <f aca="true">IF($B444="","",IF(AND($N444="Y",$P444="Y",$R444="Y"),"Done",IF(OR(AND($M444&lt;=TODAY(),$N444&lt;&gt;"Y"),AND($O444&lt;=TODAY(),$P444&lt;&gt;"Y"),AND($Q444&lt;=TODAY(),$R444&lt;&gt;"Y")),"DUE","Scheduled")))</f>
        <v/>
      </c>
      <c r="T444" s="20"/>
      <c r="U444" s="23" t="str">
        <f aca="false">IF($B444="","",IF(OR($T444&lt;=2,$I444="Editorial"),"REDO",""))</f>
        <v/>
      </c>
      <c r="V444" s="18" t="str">
        <f aca="false">IF($S444&lt;&gt;"DUE","",COUNTIF($S$3:$S444,"DUE"))</f>
        <v/>
      </c>
    </row>
    <row r="445" customFormat="false" ht="15" hidden="false" customHeight="false" outlineLevel="0" collapsed="false">
      <c r="A445" s="12" t="str">
        <f aca="false">IF($F445="","",ROW()-2)</f>
        <v/>
      </c>
      <c r="B445" s="19"/>
      <c r="C445" s="20"/>
      <c r="D445" s="21"/>
      <c r="E445" s="21"/>
      <c r="F445" s="21"/>
      <c r="G445" s="20"/>
      <c r="H445" s="21"/>
      <c r="I445" s="20"/>
      <c r="J445" s="20"/>
      <c r="K445" s="21"/>
      <c r="L445" s="21"/>
      <c r="M445" s="22" t="str">
        <f aca="false">IF($B445="","",$B445+2)</f>
        <v/>
      </c>
      <c r="N445" s="20"/>
      <c r="O445" s="22" t="str">
        <f aca="false">IF($B445="","",$B445+5)</f>
        <v/>
      </c>
      <c r="P445" s="20"/>
      <c r="Q445" s="22" t="str">
        <f aca="false">IF($B445="","",$B445+10)</f>
        <v/>
      </c>
      <c r="R445" s="20"/>
      <c r="S445" s="23" t="str">
        <f aca="true">IF($B445="","",IF(AND($N445="Y",$P445="Y",$R445="Y"),"Done",IF(OR(AND($M445&lt;=TODAY(),$N445&lt;&gt;"Y"),AND($O445&lt;=TODAY(),$P445&lt;&gt;"Y"),AND($Q445&lt;=TODAY(),$R445&lt;&gt;"Y")),"DUE","Scheduled")))</f>
        <v/>
      </c>
      <c r="T445" s="20"/>
      <c r="U445" s="23" t="str">
        <f aca="false">IF($B445="","",IF(OR($T445&lt;=2,$I445="Editorial"),"REDO",""))</f>
        <v/>
      </c>
      <c r="V445" s="18" t="str">
        <f aca="false">IF($S445&lt;&gt;"DUE","",COUNTIF($S$3:$S445,"DUE"))</f>
        <v/>
      </c>
    </row>
    <row r="446" customFormat="false" ht="15" hidden="false" customHeight="false" outlineLevel="0" collapsed="false">
      <c r="A446" s="12" t="str">
        <f aca="false">IF($F446="","",ROW()-2)</f>
        <v/>
      </c>
      <c r="B446" s="19"/>
      <c r="C446" s="20"/>
      <c r="D446" s="21"/>
      <c r="E446" s="21"/>
      <c r="F446" s="21"/>
      <c r="G446" s="20"/>
      <c r="H446" s="21"/>
      <c r="I446" s="20"/>
      <c r="J446" s="20"/>
      <c r="K446" s="21"/>
      <c r="L446" s="21"/>
      <c r="M446" s="22" t="str">
        <f aca="false">IF($B446="","",$B446+2)</f>
        <v/>
      </c>
      <c r="N446" s="20"/>
      <c r="O446" s="22" t="str">
        <f aca="false">IF($B446="","",$B446+5)</f>
        <v/>
      </c>
      <c r="P446" s="20"/>
      <c r="Q446" s="22" t="str">
        <f aca="false">IF($B446="","",$B446+10)</f>
        <v/>
      </c>
      <c r="R446" s="20"/>
      <c r="S446" s="23" t="str">
        <f aca="true">IF($B446="","",IF(AND($N446="Y",$P446="Y",$R446="Y"),"Done",IF(OR(AND($M446&lt;=TODAY(),$N446&lt;&gt;"Y"),AND($O446&lt;=TODAY(),$P446&lt;&gt;"Y"),AND($Q446&lt;=TODAY(),$R446&lt;&gt;"Y")),"DUE","Scheduled")))</f>
        <v/>
      </c>
      <c r="T446" s="20"/>
      <c r="U446" s="23" t="str">
        <f aca="false">IF($B446="","",IF(OR($T446&lt;=2,$I446="Editorial"),"REDO",""))</f>
        <v/>
      </c>
      <c r="V446" s="18" t="str">
        <f aca="false">IF($S446&lt;&gt;"DUE","",COUNTIF($S$3:$S446,"DUE"))</f>
        <v/>
      </c>
    </row>
    <row r="447" customFormat="false" ht="15" hidden="false" customHeight="false" outlineLevel="0" collapsed="false">
      <c r="A447" s="12" t="str">
        <f aca="false">IF($F447="","",ROW()-2)</f>
        <v/>
      </c>
      <c r="B447" s="19"/>
      <c r="C447" s="20"/>
      <c r="D447" s="21"/>
      <c r="E447" s="21"/>
      <c r="F447" s="21"/>
      <c r="G447" s="20"/>
      <c r="H447" s="21"/>
      <c r="I447" s="20"/>
      <c r="J447" s="20"/>
      <c r="K447" s="21"/>
      <c r="L447" s="21"/>
      <c r="M447" s="22" t="str">
        <f aca="false">IF($B447="","",$B447+2)</f>
        <v/>
      </c>
      <c r="N447" s="20"/>
      <c r="O447" s="22" t="str">
        <f aca="false">IF($B447="","",$B447+5)</f>
        <v/>
      </c>
      <c r="P447" s="20"/>
      <c r="Q447" s="22" t="str">
        <f aca="false">IF($B447="","",$B447+10)</f>
        <v/>
      </c>
      <c r="R447" s="20"/>
      <c r="S447" s="23" t="str">
        <f aca="true">IF($B447="","",IF(AND($N447="Y",$P447="Y",$R447="Y"),"Done",IF(OR(AND($M447&lt;=TODAY(),$N447&lt;&gt;"Y"),AND($O447&lt;=TODAY(),$P447&lt;&gt;"Y"),AND($Q447&lt;=TODAY(),$R447&lt;&gt;"Y")),"DUE","Scheduled")))</f>
        <v/>
      </c>
      <c r="T447" s="20"/>
      <c r="U447" s="23" t="str">
        <f aca="false">IF($B447="","",IF(OR($T447&lt;=2,$I447="Editorial"),"REDO",""))</f>
        <v/>
      </c>
      <c r="V447" s="18" t="str">
        <f aca="false">IF($S447&lt;&gt;"DUE","",COUNTIF($S$3:$S447,"DUE"))</f>
        <v/>
      </c>
    </row>
    <row r="448" customFormat="false" ht="15" hidden="false" customHeight="false" outlineLevel="0" collapsed="false">
      <c r="A448" s="12" t="str">
        <f aca="false">IF($F448="","",ROW()-2)</f>
        <v/>
      </c>
      <c r="B448" s="19"/>
      <c r="C448" s="20"/>
      <c r="D448" s="21"/>
      <c r="E448" s="21"/>
      <c r="F448" s="21"/>
      <c r="G448" s="20"/>
      <c r="H448" s="21"/>
      <c r="I448" s="20"/>
      <c r="J448" s="20"/>
      <c r="K448" s="21"/>
      <c r="L448" s="21"/>
      <c r="M448" s="22" t="str">
        <f aca="false">IF($B448="","",$B448+2)</f>
        <v/>
      </c>
      <c r="N448" s="20"/>
      <c r="O448" s="22" t="str">
        <f aca="false">IF($B448="","",$B448+5)</f>
        <v/>
      </c>
      <c r="P448" s="20"/>
      <c r="Q448" s="22" t="str">
        <f aca="false">IF($B448="","",$B448+10)</f>
        <v/>
      </c>
      <c r="R448" s="20"/>
      <c r="S448" s="23" t="str">
        <f aca="true">IF($B448="","",IF(AND($N448="Y",$P448="Y",$R448="Y"),"Done",IF(OR(AND($M448&lt;=TODAY(),$N448&lt;&gt;"Y"),AND($O448&lt;=TODAY(),$P448&lt;&gt;"Y"),AND($Q448&lt;=TODAY(),$R448&lt;&gt;"Y")),"DUE","Scheduled")))</f>
        <v/>
      </c>
      <c r="T448" s="20"/>
      <c r="U448" s="23" t="str">
        <f aca="false">IF($B448="","",IF(OR($T448&lt;=2,$I448="Editorial"),"REDO",""))</f>
        <v/>
      </c>
      <c r="V448" s="18" t="str">
        <f aca="false">IF($S448&lt;&gt;"DUE","",COUNTIF($S$3:$S448,"DUE"))</f>
        <v/>
      </c>
    </row>
    <row r="449" customFormat="false" ht="15" hidden="false" customHeight="false" outlineLevel="0" collapsed="false">
      <c r="A449" s="12" t="str">
        <f aca="false">IF($F449="","",ROW()-2)</f>
        <v/>
      </c>
      <c r="B449" s="19"/>
      <c r="C449" s="20"/>
      <c r="D449" s="21"/>
      <c r="E449" s="21"/>
      <c r="F449" s="21"/>
      <c r="G449" s="20"/>
      <c r="H449" s="21"/>
      <c r="I449" s="20"/>
      <c r="J449" s="20"/>
      <c r="K449" s="21"/>
      <c r="L449" s="21"/>
      <c r="M449" s="22" t="str">
        <f aca="false">IF($B449="","",$B449+2)</f>
        <v/>
      </c>
      <c r="N449" s="20"/>
      <c r="O449" s="22" t="str">
        <f aca="false">IF($B449="","",$B449+5)</f>
        <v/>
      </c>
      <c r="P449" s="20"/>
      <c r="Q449" s="22" t="str">
        <f aca="false">IF($B449="","",$B449+10)</f>
        <v/>
      </c>
      <c r="R449" s="20"/>
      <c r="S449" s="23" t="str">
        <f aca="true">IF($B449="","",IF(AND($N449="Y",$P449="Y",$R449="Y"),"Done",IF(OR(AND($M449&lt;=TODAY(),$N449&lt;&gt;"Y"),AND($O449&lt;=TODAY(),$P449&lt;&gt;"Y"),AND($Q449&lt;=TODAY(),$R449&lt;&gt;"Y")),"DUE","Scheduled")))</f>
        <v/>
      </c>
      <c r="T449" s="20"/>
      <c r="U449" s="23" t="str">
        <f aca="false">IF($B449="","",IF(OR($T449&lt;=2,$I449="Editorial"),"REDO",""))</f>
        <v/>
      </c>
      <c r="V449" s="18" t="str">
        <f aca="false">IF($S449&lt;&gt;"DUE","",COUNTIF($S$3:$S449,"DUE"))</f>
        <v/>
      </c>
    </row>
    <row r="450" customFormat="false" ht="15" hidden="false" customHeight="false" outlineLevel="0" collapsed="false">
      <c r="A450" s="12" t="str">
        <f aca="false">IF($F450="","",ROW()-2)</f>
        <v/>
      </c>
      <c r="B450" s="19"/>
      <c r="C450" s="20"/>
      <c r="D450" s="21"/>
      <c r="E450" s="21"/>
      <c r="F450" s="21"/>
      <c r="G450" s="20"/>
      <c r="H450" s="21"/>
      <c r="I450" s="20"/>
      <c r="J450" s="20"/>
      <c r="K450" s="21"/>
      <c r="L450" s="21"/>
      <c r="M450" s="22" t="str">
        <f aca="false">IF($B450="","",$B450+2)</f>
        <v/>
      </c>
      <c r="N450" s="20"/>
      <c r="O450" s="22" t="str">
        <f aca="false">IF($B450="","",$B450+5)</f>
        <v/>
      </c>
      <c r="P450" s="20"/>
      <c r="Q450" s="22" t="str">
        <f aca="false">IF($B450="","",$B450+10)</f>
        <v/>
      </c>
      <c r="R450" s="20"/>
      <c r="S450" s="23" t="str">
        <f aca="true">IF($B450="","",IF(AND($N450="Y",$P450="Y",$R450="Y"),"Done",IF(OR(AND($M450&lt;=TODAY(),$N450&lt;&gt;"Y"),AND($O450&lt;=TODAY(),$P450&lt;&gt;"Y"),AND($Q450&lt;=TODAY(),$R450&lt;&gt;"Y")),"DUE","Scheduled")))</f>
        <v/>
      </c>
      <c r="T450" s="20"/>
      <c r="U450" s="23" t="str">
        <f aca="false">IF($B450="","",IF(OR($T450&lt;=2,$I450="Editorial"),"REDO",""))</f>
        <v/>
      </c>
      <c r="V450" s="18" t="str">
        <f aca="false">IF($S450&lt;&gt;"DUE","",COUNTIF($S$3:$S450,"DUE"))</f>
        <v/>
      </c>
    </row>
    <row r="451" customFormat="false" ht="15" hidden="false" customHeight="false" outlineLevel="0" collapsed="false">
      <c r="A451" s="12" t="str">
        <f aca="false">IF($F451="","",ROW()-2)</f>
        <v/>
      </c>
      <c r="B451" s="19"/>
      <c r="C451" s="20"/>
      <c r="D451" s="21"/>
      <c r="E451" s="21"/>
      <c r="F451" s="21"/>
      <c r="G451" s="20"/>
      <c r="H451" s="21"/>
      <c r="I451" s="20"/>
      <c r="J451" s="20"/>
      <c r="K451" s="21"/>
      <c r="L451" s="21"/>
      <c r="M451" s="22" t="str">
        <f aca="false">IF($B451="","",$B451+2)</f>
        <v/>
      </c>
      <c r="N451" s="20"/>
      <c r="O451" s="22" t="str">
        <f aca="false">IF($B451="","",$B451+5)</f>
        <v/>
      </c>
      <c r="P451" s="20"/>
      <c r="Q451" s="22" t="str">
        <f aca="false">IF($B451="","",$B451+10)</f>
        <v/>
      </c>
      <c r="R451" s="20"/>
      <c r="S451" s="23" t="str">
        <f aca="true">IF($B451="","",IF(AND($N451="Y",$P451="Y",$R451="Y"),"Done",IF(OR(AND($M451&lt;=TODAY(),$N451&lt;&gt;"Y"),AND($O451&lt;=TODAY(),$P451&lt;&gt;"Y"),AND($Q451&lt;=TODAY(),$R451&lt;&gt;"Y")),"DUE","Scheduled")))</f>
        <v/>
      </c>
      <c r="T451" s="20"/>
      <c r="U451" s="23" t="str">
        <f aca="false">IF($B451="","",IF(OR($T451&lt;=2,$I451="Editorial"),"REDO",""))</f>
        <v/>
      </c>
      <c r="V451" s="18" t="str">
        <f aca="false">IF($S451&lt;&gt;"DUE","",COUNTIF($S$3:$S451,"DUE"))</f>
        <v/>
      </c>
    </row>
    <row r="452" customFormat="false" ht="15" hidden="false" customHeight="false" outlineLevel="0" collapsed="false">
      <c r="A452" s="12" t="str">
        <f aca="false">IF($F452="","",ROW()-2)</f>
        <v/>
      </c>
      <c r="B452" s="19"/>
      <c r="C452" s="20"/>
      <c r="D452" s="21"/>
      <c r="E452" s="21"/>
      <c r="F452" s="21"/>
      <c r="G452" s="20"/>
      <c r="H452" s="21"/>
      <c r="I452" s="20"/>
      <c r="J452" s="20"/>
      <c r="K452" s="21"/>
      <c r="L452" s="21"/>
      <c r="M452" s="22" t="str">
        <f aca="false">IF($B452="","",$B452+2)</f>
        <v/>
      </c>
      <c r="N452" s="20"/>
      <c r="O452" s="22" t="str">
        <f aca="false">IF($B452="","",$B452+5)</f>
        <v/>
      </c>
      <c r="P452" s="20"/>
      <c r="Q452" s="22" t="str">
        <f aca="false">IF($B452="","",$B452+10)</f>
        <v/>
      </c>
      <c r="R452" s="20"/>
      <c r="S452" s="23" t="str">
        <f aca="true">IF($B452="","",IF(AND($N452="Y",$P452="Y",$R452="Y"),"Done",IF(OR(AND($M452&lt;=TODAY(),$N452&lt;&gt;"Y"),AND($O452&lt;=TODAY(),$P452&lt;&gt;"Y"),AND($Q452&lt;=TODAY(),$R452&lt;&gt;"Y")),"DUE","Scheduled")))</f>
        <v/>
      </c>
      <c r="T452" s="20"/>
      <c r="U452" s="23" t="str">
        <f aca="false">IF($B452="","",IF(OR($T452&lt;=2,$I452="Editorial"),"REDO",""))</f>
        <v/>
      </c>
      <c r="V452" s="18" t="str">
        <f aca="false">IF($S452&lt;&gt;"DUE","",COUNTIF($S$3:$S452,"DUE"))</f>
        <v/>
      </c>
    </row>
    <row r="453" customFormat="false" ht="15" hidden="false" customHeight="false" outlineLevel="0" collapsed="false">
      <c r="A453" s="12" t="str">
        <f aca="false">IF($F453="","",ROW()-2)</f>
        <v/>
      </c>
      <c r="B453" s="19"/>
      <c r="C453" s="20"/>
      <c r="D453" s="21"/>
      <c r="E453" s="21"/>
      <c r="F453" s="21"/>
      <c r="G453" s="20"/>
      <c r="H453" s="21"/>
      <c r="I453" s="20"/>
      <c r="J453" s="20"/>
      <c r="K453" s="21"/>
      <c r="L453" s="21"/>
      <c r="M453" s="22" t="str">
        <f aca="false">IF($B453="","",$B453+2)</f>
        <v/>
      </c>
      <c r="N453" s="20"/>
      <c r="O453" s="22" t="str">
        <f aca="false">IF($B453="","",$B453+5)</f>
        <v/>
      </c>
      <c r="P453" s="20"/>
      <c r="Q453" s="22" t="str">
        <f aca="false">IF($B453="","",$B453+10)</f>
        <v/>
      </c>
      <c r="R453" s="20"/>
      <c r="S453" s="23" t="str">
        <f aca="true">IF($B453="","",IF(AND($N453="Y",$P453="Y",$R453="Y"),"Done",IF(OR(AND($M453&lt;=TODAY(),$N453&lt;&gt;"Y"),AND($O453&lt;=TODAY(),$P453&lt;&gt;"Y"),AND($Q453&lt;=TODAY(),$R453&lt;&gt;"Y")),"DUE","Scheduled")))</f>
        <v/>
      </c>
      <c r="T453" s="20"/>
      <c r="U453" s="23" t="str">
        <f aca="false">IF($B453="","",IF(OR($T453&lt;=2,$I453="Editorial"),"REDO",""))</f>
        <v/>
      </c>
      <c r="V453" s="18" t="str">
        <f aca="false">IF($S453&lt;&gt;"DUE","",COUNTIF($S$3:$S453,"DUE"))</f>
        <v/>
      </c>
    </row>
    <row r="454" customFormat="false" ht="15" hidden="false" customHeight="false" outlineLevel="0" collapsed="false">
      <c r="A454" s="12" t="str">
        <f aca="false">IF($F454="","",ROW()-2)</f>
        <v/>
      </c>
      <c r="B454" s="19"/>
      <c r="C454" s="20"/>
      <c r="D454" s="21"/>
      <c r="E454" s="21"/>
      <c r="F454" s="21"/>
      <c r="G454" s="20"/>
      <c r="H454" s="21"/>
      <c r="I454" s="20"/>
      <c r="J454" s="20"/>
      <c r="K454" s="21"/>
      <c r="L454" s="21"/>
      <c r="M454" s="22" t="str">
        <f aca="false">IF($B454="","",$B454+2)</f>
        <v/>
      </c>
      <c r="N454" s="20"/>
      <c r="O454" s="22" t="str">
        <f aca="false">IF($B454="","",$B454+5)</f>
        <v/>
      </c>
      <c r="P454" s="20"/>
      <c r="Q454" s="22" t="str">
        <f aca="false">IF($B454="","",$B454+10)</f>
        <v/>
      </c>
      <c r="R454" s="20"/>
      <c r="S454" s="23" t="str">
        <f aca="true">IF($B454="","",IF(AND($N454="Y",$P454="Y",$R454="Y"),"Done",IF(OR(AND($M454&lt;=TODAY(),$N454&lt;&gt;"Y"),AND($O454&lt;=TODAY(),$P454&lt;&gt;"Y"),AND($Q454&lt;=TODAY(),$R454&lt;&gt;"Y")),"DUE","Scheduled")))</f>
        <v/>
      </c>
      <c r="T454" s="20"/>
      <c r="U454" s="23" t="str">
        <f aca="false">IF($B454="","",IF(OR($T454&lt;=2,$I454="Editorial"),"REDO",""))</f>
        <v/>
      </c>
      <c r="V454" s="18" t="str">
        <f aca="false">IF($S454&lt;&gt;"DUE","",COUNTIF($S$3:$S454,"DUE"))</f>
        <v/>
      </c>
    </row>
    <row r="455" customFormat="false" ht="15" hidden="false" customHeight="false" outlineLevel="0" collapsed="false">
      <c r="A455" s="12" t="str">
        <f aca="false">IF($F455="","",ROW()-2)</f>
        <v/>
      </c>
      <c r="B455" s="19"/>
      <c r="C455" s="20"/>
      <c r="D455" s="21"/>
      <c r="E455" s="21"/>
      <c r="F455" s="21"/>
      <c r="G455" s="20"/>
      <c r="H455" s="21"/>
      <c r="I455" s="20"/>
      <c r="J455" s="20"/>
      <c r="K455" s="21"/>
      <c r="L455" s="21"/>
      <c r="M455" s="22" t="str">
        <f aca="false">IF($B455="","",$B455+2)</f>
        <v/>
      </c>
      <c r="N455" s="20"/>
      <c r="O455" s="22" t="str">
        <f aca="false">IF($B455="","",$B455+5)</f>
        <v/>
      </c>
      <c r="P455" s="20"/>
      <c r="Q455" s="22" t="str">
        <f aca="false">IF($B455="","",$B455+10)</f>
        <v/>
      </c>
      <c r="R455" s="20"/>
      <c r="S455" s="23" t="str">
        <f aca="true">IF($B455="","",IF(AND($N455="Y",$P455="Y",$R455="Y"),"Done",IF(OR(AND($M455&lt;=TODAY(),$N455&lt;&gt;"Y"),AND($O455&lt;=TODAY(),$P455&lt;&gt;"Y"),AND($Q455&lt;=TODAY(),$R455&lt;&gt;"Y")),"DUE","Scheduled")))</f>
        <v/>
      </c>
      <c r="T455" s="20"/>
      <c r="U455" s="23" t="str">
        <f aca="false">IF($B455="","",IF(OR($T455&lt;=2,$I455="Editorial"),"REDO",""))</f>
        <v/>
      </c>
      <c r="V455" s="18" t="str">
        <f aca="false">IF($S455&lt;&gt;"DUE","",COUNTIF($S$3:$S455,"DUE"))</f>
        <v/>
      </c>
    </row>
    <row r="456" customFormat="false" ht="15" hidden="false" customHeight="false" outlineLevel="0" collapsed="false">
      <c r="A456" s="12" t="str">
        <f aca="false">IF($F456="","",ROW()-2)</f>
        <v/>
      </c>
      <c r="B456" s="19"/>
      <c r="C456" s="20"/>
      <c r="D456" s="21"/>
      <c r="E456" s="21"/>
      <c r="F456" s="21"/>
      <c r="G456" s="20"/>
      <c r="H456" s="21"/>
      <c r="I456" s="20"/>
      <c r="J456" s="20"/>
      <c r="K456" s="21"/>
      <c r="L456" s="21"/>
      <c r="M456" s="22" t="str">
        <f aca="false">IF($B456="","",$B456+2)</f>
        <v/>
      </c>
      <c r="N456" s="20"/>
      <c r="O456" s="22" t="str">
        <f aca="false">IF($B456="","",$B456+5)</f>
        <v/>
      </c>
      <c r="P456" s="20"/>
      <c r="Q456" s="22" t="str">
        <f aca="false">IF($B456="","",$B456+10)</f>
        <v/>
      </c>
      <c r="R456" s="20"/>
      <c r="S456" s="23" t="str">
        <f aca="true">IF($B456="","",IF(AND($N456="Y",$P456="Y",$R456="Y"),"Done",IF(OR(AND($M456&lt;=TODAY(),$N456&lt;&gt;"Y"),AND($O456&lt;=TODAY(),$P456&lt;&gt;"Y"),AND($Q456&lt;=TODAY(),$R456&lt;&gt;"Y")),"DUE","Scheduled")))</f>
        <v/>
      </c>
      <c r="T456" s="20"/>
      <c r="U456" s="23" t="str">
        <f aca="false">IF($B456="","",IF(OR($T456&lt;=2,$I456="Editorial"),"REDO",""))</f>
        <v/>
      </c>
      <c r="V456" s="18" t="str">
        <f aca="false">IF($S456&lt;&gt;"DUE","",COUNTIF($S$3:$S456,"DUE"))</f>
        <v/>
      </c>
    </row>
    <row r="457" customFormat="false" ht="15" hidden="false" customHeight="false" outlineLevel="0" collapsed="false">
      <c r="A457" s="12" t="str">
        <f aca="false">IF($F457="","",ROW()-2)</f>
        <v/>
      </c>
      <c r="B457" s="19"/>
      <c r="C457" s="20"/>
      <c r="D457" s="21"/>
      <c r="E457" s="21"/>
      <c r="F457" s="21"/>
      <c r="G457" s="20"/>
      <c r="H457" s="21"/>
      <c r="I457" s="20"/>
      <c r="J457" s="20"/>
      <c r="K457" s="21"/>
      <c r="L457" s="21"/>
      <c r="M457" s="22" t="str">
        <f aca="false">IF($B457="","",$B457+2)</f>
        <v/>
      </c>
      <c r="N457" s="20"/>
      <c r="O457" s="22" t="str">
        <f aca="false">IF($B457="","",$B457+5)</f>
        <v/>
      </c>
      <c r="P457" s="20"/>
      <c r="Q457" s="22" t="str">
        <f aca="false">IF($B457="","",$B457+10)</f>
        <v/>
      </c>
      <c r="R457" s="20"/>
      <c r="S457" s="23" t="str">
        <f aca="true">IF($B457="","",IF(AND($N457="Y",$P457="Y",$R457="Y"),"Done",IF(OR(AND($M457&lt;=TODAY(),$N457&lt;&gt;"Y"),AND($O457&lt;=TODAY(),$P457&lt;&gt;"Y"),AND($Q457&lt;=TODAY(),$R457&lt;&gt;"Y")),"DUE","Scheduled")))</f>
        <v/>
      </c>
      <c r="T457" s="20"/>
      <c r="U457" s="23" t="str">
        <f aca="false">IF($B457="","",IF(OR($T457&lt;=2,$I457="Editorial"),"REDO",""))</f>
        <v/>
      </c>
      <c r="V457" s="18" t="str">
        <f aca="false">IF($S457&lt;&gt;"DUE","",COUNTIF($S$3:$S457,"DUE"))</f>
        <v/>
      </c>
    </row>
    <row r="458" customFormat="false" ht="15" hidden="false" customHeight="false" outlineLevel="0" collapsed="false">
      <c r="A458" s="12" t="str">
        <f aca="false">IF($F458="","",ROW()-2)</f>
        <v/>
      </c>
      <c r="B458" s="19"/>
      <c r="C458" s="20"/>
      <c r="D458" s="21"/>
      <c r="E458" s="21"/>
      <c r="F458" s="21"/>
      <c r="G458" s="20"/>
      <c r="H458" s="21"/>
      <c r="I458" s="20"/>
      <c r="J458" s="20"/>
      <c r="K458" s="21"/>
      <c r="L458" s="21"/>
      <c r="M458" s="22" t="str">
        <f aca="false">IF($B458="","",$B458+2)</f>
        <v/>
      </c>
      <c r="N458" s="20"/>
      <c r="O458" s="22" t="str">
        <f aca="false">IF($B458="","",$B458+5)</f>
        <v/>
      </c>
      <c r="P458" s="20"/>
      <c r="Q458" s="22" t="str">
        <f aca="false">IF($B458="","",$B458+10)</f>
        <v/>
      </c>
      <c r="R458" s="20"/>
      <c r="S458" s="23" t="str">
        <f aca="true">IF($B458="","",IF(AND($N458="Y",$P458="Y",$R458="Y"),"Done",IF(OR(AND($M458&lt;=TODAY(),$N458&lt;&gt;"Y"),AND($O458&lt;=TODAY(),$P458&lt;&gt;"Y"),AND($Q458&lt;=TODAY(),$R458&lt;&gt;"Y")),"DUE","Scheduled")))</f>
        <v/>
      </c>
      <c r="T458" s="20"/>
      <c r="U458" s="23" t="str">
        <f aca="false">IF($B458="","",IF(OR($T458&lt;=2,$I458="Editorial"),"REDO",""))</f>
        <v/>
      </c>
      <c r="V458" s="18" t="str">
        <f aca="false">IF($S458&lt;&gt;"DUE","",COUNTIF($S$3:$S458,"DUE"))</f>
        <v/>
      </c>
    </row>
    <row r="459" customFormat="false" ht="15" hidden="false" customHeight="false" outlineLevel="0" collapsed="false">
      <c r="A459" s="12" t="str">
        <f aca="false">IF($F459="","",ROW()-2)</f>
        <v/>
      </c>
      <c r="B459" s="19"/>
      <c r="C459" s="20"/>
      <c r="D459" s="21"/>
      <c r="E459" s="21"/>
      <c r="F459" s="21"/>
      <c r="G459" s="20"/>
      <c r="H459" s="21"/>
      <c r="I459" s="20"/>
      <c r="J459" s="20"/>
      <c r="K459" s="21"/>
      <c r="L459" s="21"/>
      <c r="M459" s="22" t="str">
        <f aca="false">IF($B459="","",$B459+2)</f>
        <v/>
      </c>
      <c r="N459" s="20"/>
      <c r="O459" s="22" t="str">
        <f aca="false">IF($B459="","",$B459+5)</f>
        <v/>
      </c>
      <c r="P459" s="20"/>
      <c r="Q459" s="22" t="str">
        <f aca="false">IF($B459="","",$B459+10)</f>
        <v/>
      </c>
      <c r="R459" s="20"/>
      <c r="S459" s="23" t="str">
        <f aca="true">IF($B459="","",IF(AND($N459="Y",$P459="Y",$R459="Y"),"Done",IF(OR(AND($M459&lt;=TODAY(),$N459&lt;&gt;"Y"),AND($O459&lt;=TODAY(),$P459&lt;&gt;"Y"),AND($Q459&lt;=TODAY(),$R459&lt;&gt;"Y")),"DUE","Scheduled")))</f>
        <v/>
      </c>
      <c r="T459" s="20"/>
      <c r="U459" s="23" t="str">
        <f aca="false">IF($B459="","",IF(OR($T459&lt;=2,$I459="Editorial"),"REDO",""))</f>
        <v/>
      </c>
      <c r="V459" s="18" t="str">
        <f aca="false">IF($S459&lt;&gt;"DUE","",COUNTIF($S$3:$S459,"DUE"))</f>
        <v/>
      </c>
    </row>
    <row r="460" customFormat="false" ht="15" hidden="false" customHeight="false" outlineLevel="0" collapsed="false">
      <c r="A460" s="12" t="str">
        <f aca="false">IF($F460="","",ROW()-2)</f>
        <v/>
      </c>
      <c r="B460" s="19"/>
      <c r="C460" s="20"/>
      <c r="D460" s="21"/>
      <c r="E460" s="21"/>
      <c r="F460" s="21"/>
      <c r="G460" s="20"/>
      <c r="H460" s="21"/>
      <c r="I460" s="20"/>
      <c r="J460" s="20"/>
      <c r="K460" s="21"/>
      <c r="L460" s="21"/>
      <c r="M460" s="22" t="str">
        <f aca="false">IF($B460="","",$B460+2)</f>
        <v/>
      </c>
      <c r="N460" s="20"/>
      <c r="O460" s="22" t="str">
        <f aca="false">IF($B460="","",$B460+5)</f>
        <v/>
      </c>
      <c r="P460" s="20"/>
      <c r="Q460" s="22" t="str">
        <f aca="false">IF($B460="","",$B460+10)</f>
        <v/>
      </c>
      <c r="R460" s="20"/>
      <c r="S460" s="23" t="str">
        <f aca="true">IF($B460="","",IF(AND($N460="Y",$P460="Y",$R460="Y"),"Done",IF(OR(AND($M460&lt;=TODAY(),$N460&lt;&gt;"Y"),AND($O460&lt;=TODAY(),$P460&lt;&gt;"Y"),AND($Q460&lt;=TODAY(),$R460&lt;&gt;"Y")),"DUE","Scheduled")))</f>
        <v/>
      </c>
      <c r="T460" s="20"/>
      <c r="U460" s="23" t="str">
        <f aca="false">IF($B460="","",IF(OR($T460&lt;=2,$I460="Editorial"),"REDO",""))</f>
        <v/>
      </c>
      <c r="V460" s="18" t="str">
        <f aca="false">IF($S460&lt;&gt;"DUE","",COUNTIF($S$3:$S460,"DUE"))</f>
        <v/>
      </c>
    </row>
    <row r="461" customFormat="false" ht="15" hidden="false" customHeight="false" outlineLevel="0" collapsed="false">
      <c r="A461" s="12" t="str">
        <f aca="false">IF($F461="","",ROW()-2)</f>
        <v/>
      </c>
      <c r="B461" s="19"/>
      <c r="C461" s="20"/>
      <c r="D461" s="21"/>
      <c r="E461" s="21"/>
      <c r="F461" s="21"/>
      <c r="G461" s="20"/>
      <c r="H461" s="21"/>
      <c r="I461" s="20"/>
      <c r="J461" s="20"/>
      <c r="K461" s="21"/>
      <c r="L461" s="21"/>
      <c r="M461" s="22" t="str">
        <f aca="false">IF($B461="","",$B461+2)</f>
        <v/>
      </c>
      <c r="N461" s="20"/>
      <c r="O461" s="22" t="str">
        <f aca="false">IF($B461="","",$B461+5)</f>
        <v/>
      </c>
      <c r="P461" s="20"/>
      <c r="Q461" s="22" t="str">
        <f aca="false">IF($B461="","",$B461+10)</f>
        <v/>
      </c>
      <c r="R461" s="20"/>
      <c r="S461" s="23" t="str">
        <f aca="true">IF($B461="","",IF(AND($N461="Y",$P461="Y",$R461="Y"),"Done",IF(OR(AND($M461&lt;=TODAY(),$N461&lt;&gt;"Y"),AND($O461&lt;=TODAY(),$P461&lt;&gt;"Y"),AND($Q461&lt;=TODAY(),$R461&lt;&gt;"Y")),"DUE","Scheduled")))</f>
        <v/>
      </c>
      <c r="T461" s="20"/>
      <c r="U461" s="23" t="str">
        <f aca="false">IF($B461="","",IF(OR($T461&lt;=2,$I461="Editorial"),"REDO",""))</f>
        <v/>
      </c>
      <c r="V461" s="18" t="str">
        <f aca="false">IF($S461&lt;&gt;"DUE","",COUNTIF($S$3:$S461,"DUE"))</f>
        <v/>
      </c>
    </row>
    <row r="462" customFormat="false" ht="15" hidden="false" customHeight="false" outlineLevel="0" collapsed="false">
      <c r="A462" s="12" t="str">
        <f aca="false">IF($F462="","",ROW()-2)</f>
        <v/>
      </c>
      <c r="B462" s="19"/>
      <c r="C462" s="20"/>
      <c r="D462" s="21"/>
      <c r="E462" s="21"/>
      <c r="F462" s="21"/>
      <c r="G462" s="20"/>
      <c r="H462" s="21"/>
      <c r="I462" s="20"/>
      <c r="J462" s="20"/>
      <c r="K462" s="21"/>
      <c r="L462" s="21"/>
      <c r="M462" s="22" t="str">
        <f aca="false">IF($B462="","",$B462+2)</f>
        <v/>
      </c>
      <c r="N462" s="20"/>
      <c r="O462" s="22" t="str">
        <f aca="false">IF($B462="","",$B462+5)</f>
        <v/>
      </c>
      <c r="P462" s="20"/>
      <c r="Q462" s="22" t="str">
        <f aca="false">IF($B462="","",$B462+10)</f>
        <v/>
      </c>
      <c r="R462" s="20"/>
      <c r="S462" s="23" t="str">
        <f aca="true">IF($B462="","",IF(AND($N462="Y",$P462="Y",$R462="Y"),"Done",IF(OR(AND($M462&lt;=TODAY(),$N462&lt;&gt;"Y"),AND($O462&lt;=TODAY(),$P462&lt;&gt;"Y"),AND($Q462&lt;=TODAY(),$R462&lt;&gt;"Y")),"DUE","Scheduled")))</f>
        <v/>
      </c>
      <c r="T462" s="20"/>
      <c r="U462" s="23" t="str">
        <f aca="false">IF($B462="","",IF(OR($T462&lt;=2,$I462="Editorial"),"REDO",""))</f>
        <v/>
      </c>
      <c r="V462" s="18" t="str">
        <f aca="false">IF($S462&lt;&gt;"DUE","",COUNTIF($S$3:$S462,"DUE"))</f>
        <v/>
      </c>
    </row>
    <row r="463" customFormat="false" ht="15" hidden="false" customHeight="false" outlineLevel="0" collapsed="false">
      <c r="A463" s="12" t="str">
        <f aca="false">IF($F463="","",ROW()-2)</f>
        <v/>
      </c>
      <c r="B463" s="19"/>
      <c r="C463" s="20"/>
      <c r="D463" s="21"/>
      <c r="E463" s="21"/>
      <c r="F463" s="21"/>
      <c r="G463" s="20"/>
      <c r="H463" s="21"/>
      <c r="I463" s="20"/>
      <c r="J463" s="20"/>
      <c r="K463" s="21"/>
      <c r="L463" s="21"/>
      <c r="M463" s="22" t="str">
        <f aca="false">IF($B463="","",$B463+2)</f>
        <v/>
      </c>
      <c r="N463" s="20"/>
      <c r="O463" s="22" t="str">
        <f aca="false">IF($B463="","",$B463+5)</f>
        <v/>
      </c>
      <c r="P463" s="20"/>
      <c r="Q463" s="22" t="str">
        <f aca="false">IF($B463="","",$B463+10)</f>
        <v/>
      </c>
      <c r="R463" s="20"/>
      <c r="S463" s="23" t="str">
        <f aca="true">IF($B463="","",IF(AND($N463="Y",$P463="Y",$R463="Y"),"Done",IF(OR(AND($M463&lt;=TODAY(),$N463&lt;&gt;"Y"),AND($O463&lt;=TODAY(),$P463&lt;&gt;"Y"),AND($Q463&lt;=TODAY(),$R463&lt;&gt;"Y")),"DUE","Scheduled")))</f>
        <v/>
      </c>
      <c r="T463" s="20"/>
      <c r="U463" s="23" t="str">
        <f aca="false">IF($B463="","",IF(OR($T463&lt;=2,$I463="Editorial"),"REDO",""))</f>
        <v/>
      </c>
      <c r="V463" s="18" t="str">
        <f aca="false">IF($S463&lt;&gt;"DUE","",COUNTIF($S$3:$S463,"DUE"))</f>
        <v/>
      </c>
    </row>
    <row r="464" customFormat="false" ht="15" hidden="false" customHeight="false" outlineLevel="0" collapsed="false">
      <c r="A464" s="12" t="str">
        <f aca="false">IF($F464="","",ROW()-2)</f>
        <v/>
      </c>
      <c r="B464" s="19"/>
      <c r="C464" s="20"/>
      <c r="D464" s="21"/>
      <c r="E464" s="21"/>
      <c r="F464" s="21"/>
      <c r="G464" s="20"/>
      <c r="H464" s="21"/>
      <c r="I464" s="20"/>
      <c r="J464" s="20"/>
      <c r="K464" s="21"/>
      <c r="L464" s="21"/>
      <c r="M464" s="22" t="str">
        <f aca="false">IF($B464="","",$B464+2)</f>
        <v/>
      </c>
      <c r="N464" s="20"/>
      <c r="O464" s="22" t="str">
        <f aca="false">IF($B464="","",$B464+5)</f>
        <v/>
      </c>
      <c r="P464" s="20"/>
      <c r="Q464" s="22" t="str">
        <f aca="false">IF($B464="","",$B464+10)</f>
        <v/>
      </c>
      <c r="R464" s="20"/>
      <c r="S464" s="23" t="str">
        <f aca="true">IF($B464="","",IF(AND($N464="Y",$P464="Y",$R464="Y"),"Done",IF(OR(AND($M464&lt;=TODAY(),$N464&lt;&gt;"Y"),AND($O464&lt;=TODAY(),$P464&lt;&gt;"Y"),AND($Q464&lt;=TODAY(),$R464&lt;&gt;"Y")),"DUE","Scheduled")))</f>
        <v/>
      </c>
      <c r="T464" s="20"/>
      <c r="U464" s="23" t="str">
        <f aca="false">IF($B464="","",IF(OR($T464&lt;=2,$I464="Editorial"),"REDO",""))</f>
        <v/>
      </c>
      <c r="V464" s="18" t="str">
        <f aca="false">IF($S464&lt;&gt;"DUE","",COUNTIF($S$3:$S464,"DUE"))</f>
        <v/>
      </c>
    </row>
    <row r="465" customFormat="false" ht="15" hidden="false" customHeight="false" outlineLevel="0" collapsed="false">
      <c r="A465" s="12" t="str">
        <f aca="false">IF($F465="","",ROW()-2)</f>
        <v/>
      </c>
      <c r="B465" s="19"/>
      <c r="C465" s="20"/>
      <c r="D465" s="21"/>
      <c r="E465" s="21"/>
      <c r="F465" s="21"/>
      <c r="G465" s="20"/>
      <c r="H465" s="21"/>
      <c r="I465" s="20"/>
      <c r="J465" s="20"/>
      <c r="K465" s="21"/>
      <c r="L465" s="21"/>
      <c r="M465" s="22" t="str">
        <f aca="false">IF($B465="","",$B465+2)</f>
        <v/>
      </c>
      <c r="N465" s="20"/>
      <c r="O465" s="22" t="str">
        <f aca="false">IF($B465="","",$B465+5)</f>
        <v/>
      </c>
      <c r="P465" s="20"/>
      <c r="Q465" s="22" t="str">
        <f aca="false">IF($B465="","",$B465+10)</f>
        <v/>
      </c>
      <c r="R465" s="20"/>
      <c r="S465" s="23" t="str">
        <f aca="true">IF($B465="","",IF(AND($N465="Y",$P465="Y",$R465="Y"),"Done",IF(OR(AND($M465&lt;=TODAY(),$N465&lt;&gt;"Y"),AND($O465&lt;=TODAY(),$P465&lt;&gt;"Y"),AND($Q465&lt;=TODAY(),$R465&lt;&gt;"Y")),"DUE","Scheduled")))</f>
        <v/>
      </c>
      <c r="T465" s="20"/>
      <c r="U465" s="23" t="str">
        <f aca="false">IF($B465="","",IF(OR($T465&lt;=2,$I465="Editorial"),"REDO",""))</f>
        <v/>
      </c>
      <c r="V465" s="18" t="str">
        <f aca="false">IF($S465&lt;&gt;"DUE","",COUNTIF($S$3:$S465,"DUE"))</f>
        <v/>
      </c>
    </row>
    <row r="466" customFormat="false" ht="15" hidden="false" customHeight="false" outlineLevel="0" collapsed="false">
      <c r="A466" s="12" t="str">
        <f aca="false">IF($F466="","",ROW()-2)</f>
        <v/>
      </c>
      <c r="B466" s="19"/>
      <c r="C466" s="20"/>
      <c r="D466" s="21"/>
      <c r="E466" s="21"/>
      <c r="F466" s="21"/>
      <c r="G466" s="20"/>
      <c r="H466" s="21"/>
      <c r="I466" s="20"/>
      <c r="J466" s="20"/>
      <c r="K466" s="21"/>
      <c r="L466" s="21"/>
      <c r="M466" s="22" t="str">
        <f aca="false">IF($B466="","",$B466+2)</f>
        <v/>
      </c>
      <c r="N466" s="20"/>
      <c r="O466" s="22" t="str">
        <f aca="false">IF($B466="","",$B466+5)</f>
        <v/>
      </c>
      <c r="P466" s="20"/>
      <c r="Q466" s="22" t="str">
        <f aca="false">IF($B466="","",$B466+10)</f>
        <v/>
      </c>
      <c r="R466" s="20"/>
      <c r="S466" s="23" t="str">
        <f aca="true">IF($B466="","",IF(AND($N466="Y",$P466="Y",$R466="Y"),"Done",IF(OR(AND($M466&lt;=TODAY(),$N466&lt;&gt;"Y"),AND($O466&lt;=TODAY(),$P466&lt;&gt;"Y"),AND($Q466&lt;=TODAY(),$R466&lt;&gt;"Y")),"DUE","Scheduled")))</f>
        <v/>
      </c>
      <c r="T466" s="20"/>
      <c r="U466" s="23" t="str">
        <f aca="false">IF($B466="","",IF(OR($T466&lt;=2,$I466="Editorial"),"REDO",""))</f>
        <v/>
      </c>
      <c r="V466" s="18" t="str">
        <f aca="false">IF($S466&lt;&gt;"DUE","",COUNTIF($S$3:$S466,"DUE"))</f>
        <v/>
      </c>
    </row>
    <row r="467" customFormat="false" ht="15" hidden="false" customHeight="false" outlineLevel="0" collapsed="false">
      <c r="A467" s="12" t="str">
        <f aca="false">IF($F467="","",ROW()-2)</f>
        <v/>
      </c>
      <c r="B467" s="19"/>
      <c r="C467" s="20"/>
      <c r="D467" s="21"/>
      <c r="E467" s="21"/>
      <c r="F467" s="21"/>
      <c r="G467" s="20"/>
      <c r="H467" s="21"/>
      <c r="I467" s="20"/>
      <c r="J467" s="20"/>
      <c r="K467" s="21"/>
      <c r="L467" s="21"/>
      <c r="M467" s="22" t="str">
        <f aca="false">IF($B467="","",$B467+2)</f>
        <v/>
      </c>
      <c r="N467" s="20"/>
      <c r="O467" s="22" t="str">
        <f aca="false">IF($B467="","",$B467+5)</f>
        <v/>
      </c>
      <c r="P467" s="20"/>
      <c r="Q467" s="22" t="str">
        <f aca="false">IF($B467="","",$B467+10)</f>
        <v/>
      </c>
      <c r="R467" s="20"/>
      <c r="S467" s="23" t="str">
        <f aca="true">IF($B467="","",IF(AND($N467="Y",$P467="Y",$R467="Y"),"Done",IF(OR(AND($M467&lt;=TODAY(),$N467&lt;&gt;"Y"),AND($O467&lt;=TODAY(),$P467&lt;&gt;"Y"),AND($Q467&lt;=TODAY(),$R467&lt;&gt;"Y")),"DUE","Scheduled")))</f>
        <v/>
      </c>
      <c r="T467" s="20"/>
      <c r="U467" s="23" t="str">
        <f aca="false">IF($B467="","",IF(OR($T467&lt;=2,$I467="Editorial"),"REDO",""))</f>
        <v/>
      </c>
      <c r="V467" s="18" t="str">
        <f aca="false">IF($S467&lt;&gt;"DUE","",COUNTIF($S$3:$S467,"DUE"))</f>
        <v/>
      </c>
    </row>
    <row r="468" customFormat="false" ht="15" hidden="false" customHeight="false" outlineLevel="0" collapsed="false">
      <c r="A468" s="12" t="str">
        <f aca="false">IF($F468="","",ROW()-2)</f>
        <v/>
      </c>
      <c r="B468" s="19"/>
      <c r="C468" s="20"/>
      <c r="D468" s="21"/>
      <c r="E468" s="21"/>
      <c r="F468" s="21"/>
      <c r="G468" s="20"/>
      <c r="H468" s="21"/>
      <c r="I468" s="20"/>
      <c r="J468" s="20"/>
      <c r="K468" s="21"/>
      <c r="L468" s="21"/>
      <c r="M468" s="22" t="str">
        <f aca="false">IF($B468="","",$B468+2)</f>
        <v/>
      </c>
      <c r="N468" s="20"/>
      <c r="O468" s="22" t="str">
        <f aca="false">IF($B468="","",$B468+5)</f>
        <v/>
      </c>
      <c r="P468" s="20"/>
      <c r="Q468" s="22" t="str">
        <f aca="false">IF($B468="","",$B468+10)</f>
        <v/>
      </c>
      <c r="R468" s="20"/>
      <c r="S468" s="23" t="str">
        <f aca="true">IF($B468="","",IF(AND($N468="Y",$P468="Y",$R468="Y"),"Done",IF(OR(AND($M468&lt;=TODAY(),$N468&lt;&gt;"Y"),AND($O468&lt;=TODAY(),$P468&lt;&gt;"Y"),AND($Q468&lt;=TODAY(),$R468&lt;&gt;"Y")),"DUE","Scheduled")))</f>
        <v/>
      </c>
      <c r="T468" s="20"/>
      <c r="U468" s="23" t="str">
        <f aca="false">IF($B468="","",IF(OR($T468&lt;=2,$I468="Editorial"),"REDO",""))</f>
        <v/>
      </c>
      <c r="V468" s="18" t="str">
        <f aca="false">IF($S468&lt;&gt;"DUE","",COUNTIF($S$3:$S468,"DUE"))</f>
        <v/>
      </c>
    </row>
    <row r="469" customFormat="false" ht="15" hidden="false" customHeight="false" outlineLevel="0" collapsed="false">
      <c r="A469" s="12" t="str">
        <f aca="false">IF($F469="","",ROW()-2)</f>
        <v/>
      </c>
      <c r="B469" s="19"/>
      <c r="C469" s="20"/>
      <c r="D469" s="21"/>
      <c r="E469" s="21"/>
      <c r="F469" s="21"/>
      <c r="G469" s="20"/>
      <c r="H469" s="21"/>
      <c r="I469" s="20"/>
      <c r="J469" s="20"/>
      <c r="K469" s="21"/>
      <c r="L469" s="21"/>
      <c r="M469" s="22" t="str">
        <f aca="false">IF($B469="","",$B469+2)</f>
        <v/>
      </c>
      <c r="N469" s="20"/>
      <c r="O469" s="22" t="str">
        <f aca="false">IF($B469="","",$B469+5)</f>
        <v/>
      </c>
      <c r="P469" s="20"/>
      <c r="Q469" s="22" t="str">
        <f aca="false">IF($B469="","",$B469+10)</f>
        <v/>
      </c>
      <c r="R469" s="20"/>
      <c r="S469" s="23" t="str">
        <f aca="true">IF($B469="","",IF(AND($N469="Y",$P469="Y",$R469="Y"),"Done",IF(OR(AND($M469&lt;=TODAY(),$N469&lt;&gt;"Y"),AND($O469&lt;=TODAY(),$P469&lt;&gt;"Y"),AND($Q469&lt;=TODAY(),$R469&lt;&gt;"Y")),"DUE","Scheduled")))</f>
        <v/>
      </c>
      <c r="T469" s="20"/>
      <c r="U469" s="23" t="str">
        <f aca="false">IF($B469="","",IF(OR($T469&lt;=2,$I469="Editorial"),"REDO",""))</f>
        <v/>
      </c>
      <c r="V469" s="18" t="str">
        <f aca="false">IF($S469&lt;&gt;"DUE","",COUNTIF($S$3:$S469,"DUE"))</f>
        <v/>
      </c>
    </row>
    <row r="470" customFormat="false" ht="15" hidden="false" customHeight="false" outlineLevel="0" collapsed="false">
      <c r="A470" s="12" t="str">
        <f aca="false">IF($F470="","",ROW()-2)</f>
        <v/>
      </c>
      <c r="B470" s="19"/>
      <c r="C470" s="20"/>
      <c r="D470" s="21"/>
      <c r="E470" s="21"/>
      <c r="F470" s="21"/>
      <c r="G470" s="20"/>
      <c r="H470" s="21"/>
      <c r="I470" s="20"/>
      <c r="J470" s="20"/>
      <c r="K470" s="21"/>
      <c r="L470" s="21"/>
      <c r="M470" s="22" t="str">
        <f aca="false">IF($B470="","",$B470+2)</f>
        <v/>
      </c>
      <c r="N470" s="20"/>
      <c r="O470" s="22" t="str">
        <f aca="false">IF($B470="","",$B470+5)</f>
        <v/>
      </c>
      <c r="P470" s="20"/>
      <c r="Q470" s="22" t="str">
        <f aca="false">IF($B470="","",$B470+10)</f>
        <v/>
      </c>
      <c r="R470" s="20"/>
      <c r="S470" s="23" t="str">
        <f aca="true">IF($B470="","",IF(AND($N470="Y",$P470="Y",$R470="Y"),"Done",IF(OR(AND($M470&lt;=TODAY(),$N470&lt;&gt;"Y"),AND($O470&lt;=TODAY(),$P470&lt;&gt;"Y"),AND($Q470&lt;=TODAY(),$R470&lt;&gt;"Y")),"DUE","Scheduled")))</f>
        <v/>
      </c>
      <c r="T470" s="20"/>
      <c r="U470" s="23" t="str">
        <f aca="false">IF($B470="","",IF(OR($T470&lt;=2,$I470="Editorial"),"REDO",""))</f>
        <v/>
      </c>
      <c r="V470" s="18" t="str">
        <f aca="false">IF($S470&lt;&gt;"DUE","",COUNTIF($S$3:$S470,"DUE"))</f>
        <v/>
      </c>
    </row>
    <row r="471" customFormat="false" ht="15" hidden="false" customHeight="false" outlineLevel="0" collapsed="false">
      <c r="A471" s="12" t="str">
        <f aca="false">IF($F471="","",ROW()-2)</f>
        <v/>
      </c>
      <c r="B471" s="19"/>
      <c r="C471" s="20"/>
      <c r="D471" s="21"/>
      <c r="E471" s="21"/>
      <c r="F471" s="21"/>
      <c r="G471" s="20"/>
      <c r="H471" s="21"/>
      <c r="I471" s="20"/>
      <c r="J471" s="20"/>
      <c r="K471" s="21"/>
      <c r="L471" s="21"/>
      <c r="M471" s="22" t="str">
        <f aca="false">IF($B471="","",$B471+2)</f>
        <v/>
      </c>
      <c r="N471" s="20"/>
      <c r="O471" s="22" t="str">
        <f aca="false">IF($B471="","",$B471+5)</f>
        <v/>
      </c>
      <c r="P471" s="20"/>
      <c r="Q471" s="22" t="str">
        <f aca="false">IF($B471="","",$B471+10)</f>
        <v/>
      </c>
      <c r="R471" s="20"/>
      <c r="S471" s="23" t="str">
        <f aca="true">IF($B471="","",IF(AND($N471="Y",$P471="Y",$R471="Y"),"Done",IF(OR(AND($M471&lt;=TODAY(),$N471&lt;&gt;"Y"),AND($O471&lt;=TODAY(),$P471&lt;&gt;"Y"),AND($Q471&lt;=TODAY(),$R471&lt;&gt;"Y")),"DUE","Scheduled")))</f>
        <v/>
      </c>
      <c r="T471" s="20"/>
      <c r="U471" s="23" t="str">
        <f aca="false">IF($B471="","",IF(OR($T471&lt;=2,$I471="Editorial"),"REDO",""))</f>
        <v/>
      </c>
      <c r="V471" s="18" t="str">
        <f aca="false">IF($S471&lt;&gt;"DUE","",COUNTIF($S$3:$S471,"DUE"))</f>
        <v/>
      </c>
    </row>
    <row r="472" customFormat="false" ht="15" hidden="false" customHeight="false" outlineLevel="0" collapsed="false">
      <c r="A472" s="12" t="str">
        <f aca="false">IF($F472="","",ROW()-2)</f>
        <v/>
      </c>
      <c r="B472" s="19"/>
      <c r="C472" s="20"/>
      <c r="D472" s="21"/>
      <c r="E472" s="21"/>
      <c r="F472" s="21"/>
      <c r="G472" s="20"/>
      <c r="H472" s="21"/>
      <c r="I472" s="20"/>
      <c r="J472" s="20"/>
      <c r="K472" s="21"/>
      <c r="L472" s="21"/>
      <c r="M472" s="22" t="str">
        <f aca="false">IF($B472="","",$B472+2)</f>
        <v/>
      </c>
      <c r="N472" s="20"/>
      <c r="O472" s="22" t="str">
        <f aca="false">IF($B472="","",$B472+5)</f>
        <v/>
      </c>
      <c r="P472" s="20"/>
      <c r="Q472" s="22" t="str">
        <f aca="false">IF($B472="","",$B472+10)</f>
        <v/>
      </c>
      <c r="R472" s="20"/>
      <c r="S472" s="23" t="str">
        <f aca="true">IF($B472="","",IF(AND($N472="Y",$P472="Y",$R472="Y"),"Done",IF(OR(AND($M472&lt;=TODAY(),$N472&lt;&gt;"Y"),AND($O472&lt;=TODAY(),$P472&lt;&gt;"Y"),AND($Q472&lt;=TODAY(),$R472&lt;&gt;"Y")),"DUE","Scheduled")))</f>
        <v/>
      </c>
      <c r="T472" s="20"/>
      <c r="U472" s="23" t="str">
        <f aca="false">IF($B472="","",IF(OR($T472&lt;=2,$I472="Editorial"),"REDO",""))</f>
        <v/>
      </c>
      <c r="V472" s="18" t="str">
        <f aca="false">IF($S472&lt;&gt;"DUE","",COUNTIF($S$3:$S472,"DUE"))</f>
        <v/>
      </c>
    </row>
    <row r="473" customFormat="false" ht="15" hidden="false" customHeight="false" outlineLevel="0" collapsed="false">
      <c r="A473" s="12" t="str">
        <f aca="false">IF($F473="","",ROW()-2)</f>
        <v/>
      </c>
      <c r="B473" s="19"/>
      <c r="C473" s="20"/>
      <c r="D473" s="21"/>
      <c r="E473" s="21"/>
      <c r="F473" s="21"/>
      <c r="G473" s="20"/>
      <c r="H473" s="21"/>
      <c r="I473" s="20"/>
      <c r="J473" s="20"/>
      <c r="K473" s="21"/>
      <c r="L473" s="21"/>
      <c r="M473" s="22" t="str">
        <f aca="false">IF($B473="","",$B473+2)</f>
        <v/>
      </c>
      <c r="N473" s="20"/>
      <c r="O473" s="22" t="str">
        <f aca="false">IF($B473="","",$B473+5)</f>
        <v/>
      </c>
      <c r="P473" s="20"/>
      <c r="Q473" s="22" t="str">
        <f aca="false">IF($B473="","",$B473+10)</f>
        <v/>
      </c>
      <c r="R473" s="20"/>
      <c r="S473" s="23" t="str">
        <f aca="true">IF($B473="","",IF(AND($N473="Y",$P473="Y",$R473="Y"),"Done",IF(OR(AND($M473&lt;=TODAY(),$N473&lt;&gt;"Y"),AND($O473&lt;=TODAY(),$P473&lt;&gt;"Y"),AND($Q473&lt;=TODAY(),$R473&lt;&gt;"Y")),"DUE","Scheduled")))</f>
        <v/>
      </c>
      <c r="T473" s="20"/>
      <c r="U473" s="23" t="str">
        <f aca="false">IF($B473="","",IF(OR($T473&lt;=2,$I473="Editorial"),"REDO",""))</f>
        <v/>
      </c>
      <c r="V473" s="18" t="str">
        <f aca="false">IF($S473&lt;&gt;"DUE","",COUNTIF($S$3:$S473,"DUE"))</f>
        <v/>
      </c>
    </row>
    <row r="474" customFormat="false" ht="15" hidden="false" customHeight="false" outlineLevel="0" collapsed="false">
      <c r="A474" s="12" t="str">
        <f aca="false">IF($F474="","",ROW()-2)</f>
        <v/>
      </c>
      <c r="B474" s="19"/>
      <c r="C474" s="20"/>
      <c r="D474" s="21"/>
      <c r="E474" s="21"/>
      <c r="F474" s="21"/>
      <c r="G474" s="20"/>
      <c r="H474" s="21"/>
      <c r="I474" s="20"/>
      <c r="J474" s="20"/>
      <c r="K474" s="21"/>
      <c r="L474" s="21"/>
      <c r="M474" s="22" t="str">
        <f aca="false">IF($B474="","",$B474+2)</f>
        <v/>
      </c>
      <c r="N474" s="20"/>
      <c r="O474" s="22" t="str">
        <f aca="false">IF($B474="","",$B474+5)</f>
        <v/>
      </c>
      <c r="P474" s="20"/>
      <c r="Q474" s="22" t="str">
        <f aca="false">IF($B474="","",$B474+10)</f>
        <v/>
      </c>
      <c r="R474" s="20"/>
      <c r="S474" s="23" t="str">
        <f aca="true">IF($B474="","",IF(AND($N474="Y",$P474="Y",$R474="Y"),"Done",IF(OR(AND($M474&lt;=TODAY(),$N474&lt;&gt;"Y"),AND($O474&lt;=TODAY(),$P474&lt;&gt;"Y"),AND($Q474&lt;=TODAY(),$R474&lt;&gt;"Y")),"DUE","Scheduled")))</f>
        <v/>
      </c>
      <c r="T474" s="20"/>
      <c r="U474" s="23" t="str">
        <f aca="false">IF($B474="","",IF(OR($T474&lt;=2,$I474="Editorial"),"REDO",""))</f>
        <v/>
      </c>
      <c r="V474" s="18" t="str">
        <f aca="false">IF($S474&lt;&gt;"DUE","",COUNTIF($S$3:$S474,"DUE"))</f>
        <v/>
      </c>
    </row>
    <row r="475" customFormat="false" ht="15" hidden="false" customHeight="false" outlineLevel="0" collapsed="false">
      <c r="A475" s="12" t="str">
        <f aca="false">IF($F475="","",ROW()-2)</f>
        <v/>
      </c>
      <c r="B475" s="19"/>
      <c r="C475" s="20"/>
      <c r="D475" s="21"/>
      <c r="E475" s="21"/>
      <c r="F475" s="21"/>
      <c r="G475" s="20"/>
      <c r="H475" s="21"/>
      <c r="I475" s="20"/>
      <c r="J475" s="20"/>
      <c r="K475" s="21"/>
      <c r="L475" s="21"/>
      <c r="M475" s="22" t="str">
        <f aca="false">IF($B475="","",$B475+2)</f>
        <v/>
      </c>
      <c r="N475" s="20"/>
      <c r="O475" s="22" t="str">
        <f aca="false">IF($B475="","",$B475+5)</f>
        <v/>
      </c>
      <c r="P475" s="20"/>
      <c r="Q475" s="22" t="str">
        <f aca="false">IF($B475="","",$B475+10)</f>
        <v/>
      </c>
      <c r="R475" s="20"/>
      <c r="S475" s="23" t="str">
        <f aca="true">IF($B475="","",IF(AND($N475="Y",$P475="Y",$R475="Y"),"Done",IF(OR(AND($M475&lt;=TODAY(),$N475&lt;&gt;"Y"),AND($O475&lt;=TODAY(),$P475&lt;&gt;"Y"),AND($Q475&lt;=TODAY(),$R475&lt;&gt;"Y")),"DUE","Scheduled")))</f>
        <v/>
      </c>
      <c r="T475" s="20"/>
      <c r="U475" s="23" t="str">
        <f aca="false">IF($B475="","",IF(OR($T475&lt;=2,$I475="Editorial"),"REDO",""))</f>
        <v/>
      </c>
      <c r="V475" s="18" t="str">
        <f aca="false">IF($S475&lt;&gt;"DUE","",COUNTIF($S$3:$S475,"DUE"))</f>
        <v/>
      </c>
    </row>
    <row r="476" customFormat="false" ht="15" hidden="false" customHeight="false" outlineLevel="0" collapsed="false">
      <c r="A476" s="12" t="str">
        <f aca="false">IF($F476="","",ROW()-2)</f>
        <v/>
      </c>
      <c r="B476" s="19"/>
      <c r="C476" s="20"/>
      <c r="D476" s="21"/>
      <c r="E476" s="21"/>
      <c r="F476" s="21"/>
      <c r="G476" s="20"/>
      <c r="H476" s="21"/>
      <c r="I476" s="20"/>
      <c r="J476" s="20"/>
      <c r="K476" s="21"/>
      <c r="L476" s="21"/>
      <c r="M476" s="22" t="str">
        <f aca="false">IF($B476="","",$B476+2)</f>
        <v/>
      </c>
      <c r="N476" s="20"/>
      <c r="O476" s="22" t="str">
        <f aca="false">IF($B476="","",$B476+5)</f>
        <v/>
      </c>
      <c r="P476" s="20"/>
      <c r="Q476" s="22" t="str">
        <f aca="false">IF($B476="","",$B476+10)</f>
        <v/>
      </c>
      <c r="R476" s="20"/>
      <c r="S476" s="23" t="str">
        <f aca="true">IF($B476="","",IF(AND($N476="Y",$P476="Y",$R476="Y"),"Done",IF(OR(AND($M476&lt;=TODAY(),$N476&lt;&gt;"Y"),AND($O476&lt;=TODAY(),$P476&lt;&gt;"Y"),AND($Q476&lt;=TODAY(),$R476&lt;&gt;"Y")),"DUE","Scheduled")))</f>
        <v/>
      </c>
      <c r="T476" s="20"/>
      <c r="U476" s="23" t="str">
        <f aca="false">IF($B476="","",IF(OR($T476&lt;=2,$I476="Editorial"),"REDO",""))</f>
        <v/>
      </c>
      <c r="V476" s="18" t="str">
        <f aca="false">IF($S476&lt;&gt;"DUE","",COUNTIF($S$3:$S476,"DUE"))</f>
        <v/>
      </c>
    </row>
    <row r="477" customFormat="false" ht="15" hidden="false" customHeight="false" outlineLevel="0" collapsed="false">
      <c r="A477" s="12" t="str">
        <f aca="false">IF($F477="","",ROW()-2)</f>
        <v/>
      </c>
      <c r="B477" s="19"/>
      <c r="C477" s="20"/>
      <c r="D477" s="21"/>
      <c r="E477" s="21"/>
      <c r="F477" s="21"/>
      <c r="G477" s="20"/>
      <c r="H477" s="21"/>
      <c r="I477" s="20"/>
      <c r="J477" s="20"/>
      <c r="K477" s="21"/>
      <c r="L477" s="21"/>
      <c r="M477" s="22" t="str">
        <f aca="false">IF($B477="","",$B477+2)</f>
        <v/>
      </c>
      <c r="N477" s="20"/>
      <c r="O477" s="22" t="str">
        <f aca="false">IF($B477="","",$B477+5)</f>
        <v/>
      </c>
      <c r="P477" s="20"/>
      <c r="Q477" s="22" t="str">
        <f aca="false">IF($B477="","",$B477+10)</f>
        <v/>
      </c>
      <c r="R477" s="20"/>
      <c r="S477" s="23" t="str">
        <f aca="true">IF($B477="","",IF(AND($N477="Y",$P477="Y",$R477="Y"),"Done",IF(OR(AND($M477&lt;=TODAY(),$N477&lt;&gt;"Y"),AND($O477&lt;=TODAY(),$P477&lt;&gt;"Y"),AND($Q477&lt;=TODAY(),$R477&lt;&gt;"Y")),"DUE","Scheduled")))</f>
        <v/>
      </c>
      <c r="T477" s="20"/>
      <c r="U477" s="23" t="str">
        <f aca="false">IF($B477="","",IF(OR($T477&lt;=2,$I477="Editorial"),"REDO",""))</f>
        <v/>
      </c>
      <c r="V477" s="18" t="str">
        <f aca="false">IF($S477&lt;&gt;"DUE","",COUNTIF($S$3:$S477,"DUE"))</f>
        <v/>
      </c>
    </row>
    <row r="478" customFormat="false" ht="15" hidden="false" customHeight="false" outlineLevel="0" collapsed="false">
      <c r="A478" s="12" t="str">
        <f aca="false">IF($F478="","",ROW()-2)</f>
        <v/>
      </c>
      <c r="B478" s="19"/>
      <c r="C478" s="20"/>
      <c r="D478" s="21"/>
      <c r="E478" s="21"/>
      <c r="F478" s="21"/>
      <c r="G478" s="20"/>
      <c r="H478" s="21"/>
      <c r="I478" s="20"/>
      <c r="J478" s="20"/>
      <c r="K478" s="21"/>
      <c r="L478" s="21"/>
      <c r="M478" s="22" t="str">
        <f aca="false">IF($B478="","",$B478+2)</f>
        <v/>
      </c>
      <c r="N478" s="20"/>
      <c r="O478" s="22" t="str">
        <f aca="false">IF($B478="","",$B478+5)</f>
        <v/>
      </c>
      <c r="P478" s="20"/>
      <c r="Q478" s="22" t="str">
        <f aca="false">IF($B478="","",$B478+10)</f>
        <v/>
      </c>
      <c r="R478" s="20"/>
      <c r="S478" s="23" t="str">
        <f aca="true">IF($B478="","",IF(AND($N478="Y",$P478="Y",$R478="Y"),"Done",IF(OR(AND($M478&lt;=TODAY(),$N478&lt;&gt;"Y"),AND($O478&lt;=TODAY(),$P478&lt;&gt;"Y"),AND($Q478&lt;=TODAY(),$R478&lt;&gt;"Y")),"DUE","Scheduled")))</f>
        <v/>
      </c>
      <c r="T478" s="20"/>
      <c r="U478" s="23" t="str">
        <f aca="false">IF($B478="","",IF(OR($T478&lt;=2,$I478="Editorial"),"REDO",""))</f>
        <v/>
      </c>
      <c r="V478" s="18" t="str">
        <f aca="false">IF($S478&lt;&gt;"DUE","",COUNTIF($S$3:$S478,"DUE"))</f>
        <v/>
      </c>
    </row>
    <row r="479" customFormat="false" ht="15" hidden="false" customHeight="false" outlineLevel="0" collapsed="false">
      <c r="A479" s="12" t="str">
        <f aca="false">IF($F479="","",ROW()-2)</f>
        <v/>
      </c>
      <c r="B479" s="19"/>
      <c r="C479" s="20"/>
      <c r="D479" s="21"/>
      <c r="E479" s="21"/>
      <c r="F479" s="21"/>
      <c r="G479" s="20"/>
      <c r="H479" s="21"/>
      <c r="I479" s="20"/>
      <c r="J479" s="20"/>
      <c r="K479" s="21"/>
      <c r="L479" s="21"/>
      <c r="M479" s="22" t="str">
        <f aca="false">IF($B479="","",$B479+2)</f>
        <v/>
      </c>
      <c r="N479" s="20"/>
      <c r="O479" s="22" t="str">
        <f aca="false">IF($B479="","",$B479+5)</f>
        <v/>
      </c>
      <c r="P479" s="20"/>
      <c r="Q479" s="22" t="str">
        <f aca="false">IF($B479="","",$B479+10)</f>
        <v/>
      </c>
      <c r="R479" s="20"/>
      <c r="S479" s="23" t="str">
        <f aca="true">IF($B479="","",IF(AND($N479="Y",$P479="Y",$R479="Y"),"Done",IF(OR(AND($M479&lt;=TODAY(),$N479&lt;&gt;"Y"),AND($O479&lt;=TODAY(),$P479&lt;&gt;"Y"),AND($Q479&lt;=TODAY(),$R479&lt;&gt;"Y")),"DUE","Scheduled")))</f>
        <v/>
      </c>
      <c r="T479" s="20"/>
      <c r="U479" s="23" t="str">
        <f aca="false">IF($B479="","",IF(OR($T479&lt;=2,$I479="Editorial"),"REDO",""))</f>
        <v/>
      </c>
      <c r="V479" s="18" t="str">
        <f aca="false">IF($S479&lt;&gt;"DUE","",COUNTIF($S$3:$S479,"DUE"))</f>
        <v/>
      </c>
    </row>
    <row r="480" customFormat="false" ht="15" hidden="false" customHeight="false" outlineLevel="0" collapsed="false">
      <c r="A480" s="12" t="str">
        <f aca="false">IF($F480="","",ROW()-2)</f>
        <v/>
      </c>
      <c r="B480" s="19"/>
      <c r="C480" s="20"/>
      <c r="D480" s="21"/>
      <c r="E480" s="21"/>
      <c r="F480" s="21"/>
      <c r="G480" s="20"/>
      <c r="H480" s="21"/>
      <c r="I480" s="20"/>
      <c r="J480" s="20"/>
      <c r="K480" s="21"/>
      <c r="L480" s="21"/>
      <c r="M480" s="22" t="str">
        <f aca="false">IF($B480="","",$B480+2)</f>
        <v/>
      </c>
      <c r="N480" s="20"/>
      <c r="O480" s="22" t="str">
        <f aca="false">IF($B480="","",$B480+5)</f>
        <v/>
      </c>
      <c r="P480" s="20"/>
      <c r="Q480" s="22" t="str">
        <f aca="false">IF($B480="","",$B480+10)</f>
        <v/>
      </c>
      <c r="R480" s="20"/>
      <c r="S480" s="23" t="str">
        <f aca="true">IF($B480="","",IF(AND($N480="Y",$P480="Y",$R480="Y"),"Done",IF(OR(AND($M480&lt;=TODAY(),$N480&lt;&gt;"Y"),AND($O480&lt;=TODAY(),$P480&lt;&gt;"Y"),AND($Q480&lt;=TODAY(),$R480&lt;&gt;"Y")),"DUE","Scheduled")))</f>
        <v/>
      </c>
      <c r="T480" s="20"/>
      <c r="U480" s="23" t="str">
        <f aca="false">IF($B480="","",IF(OR($T480&lt;=2,$I480="Editorial"),"REDO",""))</f>
        <v/>
      </c>
      <c r="V480" s="18" t="str">
        <f aca="false">IF($S480&lt;&gt;"DUE","",COUNTIF($S$3:$S480,"DUE"))</f>
        <v/>
      </c>
    </row>
    <row r="481" customFormat="false" ht="15" hidden="false" customHeight="false" outlineLevel="0" collapsed="false">
      <c r="A481" s="12" t="str">
        <f aca="false">IF($F481="","",ROW()-2)</f>
        <v/>
      </c>
      <c r="B481" s="19"/>
      <c r="C481" s="20"/>
      <c r="D481" s="21"/>
      <c r="E481" s="21"/>
      <c r="F481" s="21"/>
      <c r="G481" s="20"/>
      <c r="H481" s="21"/>
      <c r="I481" s="20"/>
      <c r="J481" s="20"/>
      <c r="K481" s="21"/>
      <c r="L481" s="21"/>
      <c r="M481" s="22" t="str">
        <f aca="false">IF($B481="","",$B481+2)</f>
        <v/>
      </c>
      <c r="N481" s="20"/>
      <c r="O481" s="22" t="str">
        <f aca="false">IF($B481="","",$B481+5)</f>
        <v/>
      </c>
      <c r="P481" s="20"/>
      <c r="Q481" s="22" t="str">
        <f aca="false">IF($B481="","",$B481+10)</f>
        <v/>
      </c>
      <c r="R481" s="20"/>
      <c r="S481" s="23" t="str">
        <f aca="true">IF($B481="","",IF(AND($N481="Y",$P481="Y",$R481="Y"),"Done",IF(OR(AND($M481&lt;=TODAY(),$N481&lt;&gt;"Y"),AND($O481&lt;=TODAY(),$P481&lt;&gt;"Y"),AND($Q481&lt;=TODAY(),$R481&lt;&gt;"Y")),"DUE","Scheduled")))</f>
        <v/>
      </c>
      <c r="T481" s="20"/>
      <c r="U481" s="23" t="str">
        <f aca="false">IF($B481="","",IF(OR($T481&lt;=2,$I481="Editorial"),"REDO",""))</f>
        <v/>
      </c>
      <c r="V481" s="18" t="str">
        <f aca="false">IF($S481&lt;&gt;"DUE","",COUNTIF($S$3:$S481,"DUE"))</f>
        <v/>
      </c>
    </row>
    <row r="482" customFormat="false" ht="15" hidden="false" customHeight="false" outlineLevel="0" collapsed="false">
      <c r="A482" s="12" t="str">
        <f aca="false">IF($F482="","",ROW()-2)</f>
        <v/>
      </c>
      <c r="B482" s="19"/>
      <c r="C482" s="20"/>
      <c r="D482" s="21"/>
      <c r="E482" s="21"/>
      <c r="F482" s="21"/>
      <c r="G482" s="20"/>
      <c r="H482" s="21"/>
      <c r="I482" s="20"/>
      <c r="J482" s="20"/>
      <c r="K482" s="21"/>
      <c r="L482" s="21"/>
      <c r="M482" s="22" t="str">
        <f aca="false">IF($B482="","",$B482+2)</f>
        <v/>
      </c>
      <c r="N482" s="20"/>
      <c r="O482" s="22" t="str">
        <f aca="false">IF($B482="","",$B482+5)</f>
        <v/>
      </c>
      <c r="P482" s="20"/>
      <c r="Q482" s="22" t="str">
        <f aca="false">IF($B482="","",$B482+10)</f>
        <v/>
      </c>
      <c r="R482" s="20"/>
      <c r="S482" s="23" t="str">
        <f aca="true">IF($B482="","",IF(AND($N482="Y",$P482="Y",$R482="Y"),"Done",IF(OR(AND($M482&lt;=TODAY(),$N482&lt;&gt;"Y"),AND($O482&lt;=TODAY(),$P482&lt;&gt;"Y"),AND($Q482&lt;=TODAY(),$R482&lt;&gt;"Y")),"DUE","Scheduled")))</f>
        <v/>
      </c>
      <c r="T482" s="20"/>
      <c r="U482" s="23" t="str">
        <f aca="false">IF($B482="","",IF(OR($T482&lt;=2,$I482="Editorial"),"REDO",""))</f>
        <v/>
      </c>
      <c r="V482" s="18" t="str">
        <f aca="false">IF($S482&lt;&gt;"DUE","",COUNTIF($S$3:$S482,"DUE"))</f>
        <v/>
      </c>
    </row>
    <row r="483" customFormat="false" ht="15" hidden="false" customHeight="false" outlineLevel="0" collapsed="false">
      <c r="A483" s="12" t="str">
        <f aca="false">IF($F483="","",ROW()-2)</f>
        <v/>
      </c>
      <c r="B483" s="19"/>
      <c r="C483" s="20"/>
      <c r="D483" s="21"/>
      <c r="E483" s="21"/>
      <c r="F483" s="21"/>
      <c r="G483" s="20"/>
      <c r="H483" s="21"/>
      <c r="I483" s="20"/>
      <c r="J483" s="20"/>
      <c r="K483" s="21"/>
      <c r="L483" s="21"/>
      <c r="M483" s="22" t="str">
        <f aca="false">IF($B483="","",$B483+2)</f>
        <v/>
      </c>
      <c r="N483" s="20"/>
      <c r="O483" s="22" t="str">
        <f aca="false">IF($B483="","",$B483+5)</f>
        <v/>
      </c>
      <c r="P483" s="20"/>
      <c r="Q483" s="22" t="str">
        <f aca="false">IF($B483="","",$B483+10)</f>
        <v/>
      </c>
      <c r="R483" s="20"/>
      <c r="S483" s="23" t="str">
        <f aca="true">IF($B483="","",IF(AND($N483="Y",$P483="Y",$R483="Y"),"Done",IF(OR(AND($M483&lt;=TODAY(),$N483&lt;&gt;"Y"),AND($O483&lt;=TODAY(),$P483&lt;&gt;"Y"),AND($Q483&lt;=TODAY(),$R483&lt;&gt;"Y")),"DUE","Scheduled")))</f>
        <v/>
      </c>
      <c r="T483" s="20"/>
      <c r="U483" s="23" t="str">
        <f aca="false">IF($B483="","",IF(OR($T483&lt;=2,$I483="Editorial"),"REDO",""))</f>
        <v/>
      </c>
      <c r="V483" s="18" t="str">
        <f aca="false">IF($S483&lt;&gt;"DUE","",COUNTIF($S$3:$S483,"DUE"))</f>
        <v/>
      </c>
    </row>
    <row r="484" customFormat="false" ht="15" hidden="false" customHeight="false" outlineLevel="0" collapsed="false">
      <c r="A484" s="12" t="str">
        <f aca="false">IF($F484="","",ROW()-2)</f>
        <v/>
      </c>
      <c r="B484" s="19"/>
      <c r="C484" s="20"/>
      <c r="D484" s="21"/>
      <c r="E484" s="21"/>
      <c r="F484" s="21"/>
      <c r="G484" s="20"/>
      <c r="H484" s="21"/>
      <c r="I484" s="20"/>
      <c r="J484" s="20"/>
      <c r="K484" s="21"/>
      <c r="L484" s="21"/>
      <c r="M484" s="22" t="str">
        <f aca="false">IF($B484="","",$B484+2)</f>
        <v/>
      </c>
      <c r="N484" s="20"/>
      <c r="O484" s="22" t="str">
        <f aca="false">IF($B484="","",$B484+5)</f>
        <v/>
      </c>
      <c r="P484" s="20"/>
      <c r="Q484" s="22" t="str">
        <f aca="false">IF($B484="","",$B484+10)</f>
        <v/>
      </c>
      <c r="R484" s="20"/>
      <c r="S484" s="23" t="str">
        <f aca="true">IF($B484="","",IF(AND($N484="Y",$P484="Y",$R484="Y"),"Done",IF(OR(AND($M484&lt;=TODAY(),$N484&lt;&gt;"Y"),AND($O484&lt;=TODAY(),$P484&lt;&gt;"Y"),AND($Q484&lt;=TODAY(),$R484&lt;&gt;"Y")),"DUE","Scheduled")))</f>
        <v/>
      </c>
      <c r="T484" s="20"/>
      <c r="U484" s="23" t="str">
        <f aca="false">IF($B484="","",IF(OR($T484&lt;=2,$I484="Editorial"),"REDO",""))</f>
        <v/>
      </c>
      <c r="V484" s="18" t="str">
        <f aca="false">IF($S484&lt;&gt;"DUE","",COUNTIF($S$3:$S484,"DUE"))</f>
        <v/>
      </c>
    </row>
    <row r="485" customFormat="false" ht="15" hidden="false" customHeight="false" outlineLevel="0" collapsed="false">
      <c r="A485" s="12" t="str">
        <f aca="false">IF($F485="","",ROW()-2)</f>
        <v/>
      </c>
      <c r="B485" s="19"/>
      <c r="C485" s="20"/>
      <c r="D485" s="21"/>
      <c r="E485" s="21"/>
      <c r="F485" s="21"/>
      <c r="G485" s="20"/>
      <c r="H485" s="21"/>
      <c r="I485" s="20"/>
      <c r="J485" s="20"/>
      <c r="K485" s="21"/>
      <c r="L485" s="21"/>
      <c r="M485" s="22" t="str">
        <f aca="false">IF($B485="","",$B485+2)</f>
        <v/>
      </c>
      <c r="N485" s="20"/>
      <c r="O485" s="22" t="str">
        <f aca="false">IF($B485="","",$B485+5)</f>
        <v/>
      </c>
      <c r="P485" s="20"/>
      <c r="Q485" s="22" t="str">
        <f aca="false">IF($B485="","",$B485+10)</f>
        <v/>
      </c>
      <c r="R485" s="20"/>
      <c r="S485" s="23" t="str">
        <f aca="true">IF($B485="","",IF(AND($N485="Y",$P485="Y",$R485="Y"),"Done",IF(OR(AND($M485&lt;=TODAY(),$N485&lt;&gt;"Y"),AND($O485&lt;=TODAY(),$P485&lt;&gt;"Y"),AND($Q485&lt;=TODAY(),$R485&lt;&gt;"Y")),"DUE","Scheduled")))</f>
        <v/>
      </c>
      <c r="T485" s="20"/>
      <c r="U485" s="23" t="str">
        <f aca="false">IF($B485="","",IF(OR($T485&lt;=2,$I485="Editorial"),"REDO",""))</f>
        <v/>
      </c>
      <c r="V485" s="18" t="str">
        <f aca="false">IF($S485&lt;&gt;"DUE","",COUNTIF($S$3:$S485,"DUE"))</f>
        <v/>
      </c>
    </row>
    <row r="486" customFormat="false" ht="15" hidden="false" customHeight="false" outlineLevel="0" collapsed="false">
      <c r="A486" s="12" t="str">
        <f aca="false">IF($F486="","",ROW()-2)</f>
        <v/>
      </c>
      <c r="B486" s="19"/>
      <c r="C486" s="20"/>
      <c r="D486" s="21"/>
      <c r="E486" s="21"/>
      <c r="F486" s="21"/>
      <c r="G486" s="20"/>
      <c r="H486" s="21"/>
      <c r="I486" s="20"/>
      <c r="J486" s="20"/>
      <c r="K486" s="21"/>
      <c r="L486" s="21"/>
      <c r="M486" s="22" t="str">
        <f aca="false">IF($B486="","",$B486+2)</f>
        <v/>
      </c>
      <c r="N486" s="20"/>
      <c r="O486" s="22" t="str">
        <f aca="false">IF($B486="","",$B486+5)</f>
        <v/>
      </c>
      <c r="P486" s="20"/>
      <c r="Q486" s="22" t="str">
        <f aca="false">IF($B486="","",$B486+10)</f>
        <v/>
      </c>
      <c r="R486" s="20"/>
      <c r="S486" s="23" t="str">
        <f aca="true">IF($B486="","",IF(AND($N486="Y",$P486="Y",$R486="Y"),"Done",IF(OR(AND($M486&lt;=TODAY(),$N486&lt;&gt;"Y"),AND($O486&lt;=TODAY(),$P486&lt;&gt;"Y"),AND($Q486&lt;=TODAY(),$R486&lt;&gt;"Y")),"DUE","Scheduled")))</f>
        <v/>
      </c>
      <c r="T486" s="20"/>
      <c r="U486" s="23" t="str">
        <f aca="false">IF($B486="","",IF(OR($T486&lt;=2,$I486="Editorial"),"REDO",""))</f>
        <v/>
      </c>
      <c r="V486" s="18" t="str">
        <f aca="false">IF($S486&lt;&gt;"DUE","",COUNTIF($S$3:$S486,"DUE"))</f>
        <v/>
      </c>
    </row>
    <row r="487" customFormat="false" ht="15" hidden="false" customHeight="false" outlineLevel="0" collapsed="false">
      <c r="A487" s="12" t="str">
        <f aca="false">IF($F487="","",ROW()-2)</f>
        <v/>
      </c>
      <c r="B487" s="19"/>
      <c r="C487" s="20"/>
      <c r="D487" s="21"/>
      <c r="E487" s="21"/>
      <c r="F487" s="21"/>
      <c r="G487" s="20"/>
      <c r="H487" s="21"/>
      <c r="I487" s="20"/>
      <c r="J487" s="20"/>
      <c r="K487" s="21"/>
      <c r="L487" s="21"/>
      <c r="M487" s="22" t="str">
        <f aca="false">IF($B487="","",$B487+2)</f>
        <v/>
      </c>
      <c r="N487" s="20"/>
      <c r="O487" s="22" t="str">
        <f aca="false">IF($B487="","",$B487+5)</f>
        <v/>
      </c>
      <c r="P487" s="20"/>
      <c r="Q487" s="22" t="str">
        <f aca="false">IF($B487="","",$B487+10)</f>
        <v/>
      </c>
      <c r="R487" s="20"/>
      <c r="S487" s="23" t="str">
        <f aca="true">IF($B487="","",IF(AND($N487="Y",$P487="Y",$R487="Y"),"Done",IF(OR(AND($M487&lt;=TODAY(),$N487&lt;&gt;"Y"),AND($O487&lt;=TODAY(),$P487&lt;&gt;"Y"),AND($Q487&lt;=TODAY(),$R487&lt;&gt;"Y")),"DUE","Scheduled")))</f>
        <v/>
      </c>
      <c r="T487" s="20"/>
      <c r="U487" s="23" t="str">
        <f aca="false">IF($B487="","",IF(OR($T487&lt;=2,$I487="Editorial"),"REDO",""))</f>
        <v/>
      </c>
      <c r="V487" s="18" t="str">
        <f aca="false">IF($S487&lt;&gt;"DUE","",COUNTIF($S$3:$S487,"DUE"))</f>
        <v/>
      </c>
    </row>
    <row r="488" customFormat="false" ht="15" hidden="false" customHeight="false" outlineLevel="0" collapsed="false">
      <c r="A488" s="12" t="str">
        <f aca="false">IF($F488="","",ROW()-2)</f>
        <v/>
      </c>
      <c r="B488" s="19"/>
      <c r="C488" s="20"/>
      <c r="D488" s="21"/>
      <c r="E488" s="21"/>
      <c r="F488" s="21"/>
      <c r="G488" s="20"/>
      <c r="H488" s="21"/>
      <c r="I488" s="20"/>
      <c r="J488" s="20"/>
      <c r="K488" s="21"/>
      <c r="L488" s="21"/>
      <c r="M488" s="22" t="str">
        <f aca="false">IF($B488="","",$B488+2)</f>
        <v/>
      </c>
      <c r="N488" s="20"/>
      <c r="O488" s="22" t="str">
        <f aca="false">IF($B488="","",$B488+5)</f>
        <v/>
      </c>
      <c r="P488" s="20"/>
      <c r="Q488" s="22" t="str">
        <f aca="false">IF($B488="","",$B488+10)</f>
        <v/>
      </c>
      <c r="R488" s="20"/>
      <c r="S488" s="23" t="str">
        <f aca="true">IF($B488="","",IF(AND($N488="Y",$P488="Y",$R488="Y"),"Done",IF(OR(AND($M488&lt;=TODAY(),$N488&lt;&gt;"Y"),AND($O488&lt;=TODAY(),$P488&lt;&gt;"Y"),AND($Q488&lt;=TODAY(),$R488&lt;&gt;"Y")),"DUE","Scheduled")))</f>
        <v/>
      </c>
      <c r="T488" s="20"/>
      <c r="U488" s="23" t="str">
        <f aca="false">IF($B488="","",IF(OR($T488&lt;=2,$I488="Editorial"),"REDO",""))</f>
        <v/>
      </c>
      <c r="V488" s="18" t="str">
        <f aca="false">IF($S488&lt;&gt;"DUE","",COUNTIF($S$3:$S488,"DUE"))</f>
        <v/>
      </c>
    </row>
    <row r="489" customFormat="false" ht="15" hidden="false" customHeight="false" outlineLevel="0" collapsed="false">
      <c r="A489" s="12" t="str">
        <f aca="false">IF($F489="","",ROW()-2)</f>
        <v/>
      </c>
      <c r="B489" s="19"/>
      <c r="C489" s="20"/>
      <c r="D489" s="21"/>
      <c r="E489" s="21"/>
      <c r="F489" s="21"/>
      <c r="G489" s="20"/>
      <c r="H489" s="21"/>
      <c r="I489" s="20"/>
      <c r="J489" s="20"/>
      <c r="K489" s="21"/>
      <c r="L489" s="21"/>
      <c r="M489" s="22" t="str">
        <f aca="false">IF($B489="","",$B489+2)</f>
        <v/>
      </c>
      <c r="N489" s="20"/>
      <c r="O489" s="22" t="str">
        <f aca="false">IF($B489="","",$B489+5)</f>
        <v/>
      </c>
      <c r="P489" s="20"/>
      <c r="Q489" s="22" t="str">
        <f aca="false">IF($B489="","",$B489+10)</f>
        <v/>
      </c>
      <c r="R489" s="20"/>
      <c r="S489" s="23" t="str">
        <f aca="true">IF($B489="","",IF(AND($N489="Y",$P489="Y",$R489="Y"),"Done",IF(OR(AND($M489&lt;=TODAY(),$N489&lt;&gt;"Y"),AND($O489&lt;=TODAY(),$P489&lt;&gt;"Y"),AND($Q489&lt;=TODAY(),$R489&lt;&gt;"Y")),"DUE","Scheduled")))</f>
        <v/>
      </c>
      <c r="T489" s="20"/>
      <c r="U489" s="23" t="str">
        <f aca="false">IF($B489="","",IF(OR($T489&lt;=2,$I489="Editorial"),"REDO",""))</f>
        <v/>
      </c>
      <c r="V489" s="18" t="str">
        <f aca="false">IF($S489&lt;&gt;"DUE","",COUNTIF($S$3:$S489,"DUE"))</f>
        <v/>
      </c>
    </row>
    <row r="490" customFormat="false" ht="15" hidden="false" customHeight="false" outlineLevel="0" collapsed="false">
      <c r="A490" s="12" t="str">
        <f aca="false">IF($F490="","",ROW()-2)</f>
        <v/>
      </c>
      <c r="B490" s="19"/>
      <c r="C490" s="20"/>
      <c r="D490" s="21"/>
      <c r="E490" s="21"/>
      <c r="F490" s="21"/>
      <c r="G490" s="20"/>
      <c r="H490" s="21"/>
      <c r="I490" s="20"/>
      <c r="J490" s="20"/>
      <c r="K490" s="21"/>
      <c r="L490" s="21"/>
      <c r="M490" s="22" t="str">
        <f aca="false">IF($B490="","",$B490+2)</f>
        <v/>
      </c>
      <c r="N490" s="20"/>
      <c r="O490" s="22" t="str">
        <f aca="false">IF($B490="","",$B490+5)</f>
        <v/>
      </c>
      <c r="P490" s="20"/>
      <c r="Q490" s="22" t="str">
        <f aca="false">IF($B490="","",$B490+10)</f>
        <v/>
      </c>
      <c r="R490" s="20"/>
      <c r="S490" s="23" t="str">
        <f aca="true">IF($B490="","",IF(AND($N490="Y",$P490="Y",$R490="Y"),"Done",IF(OR(AND($M490&lt;=TODAY(),$N490&lt;&gt;"Y"),AND($O490&lt;=TODAY(),$P490&lt;&gt;"Y"),AND($Q490&lt;=TODAY(),$R490&lt;&gt;"Y")),"DUE","Scheduled")))</f>
        <v/>
      </c>
      <c r="T490" s="20"/>
      <c r="U490" s="23" t="str">
        <f aca="false">IF($B490="","",IF(OR($T490&lt;=2,$I490="Editorial"),"REDO",""))</f>
        <v/>
      </c>
      <c r="V490" s="18" t="str">
        <f aca="false">IF($S490&lt;&gt;"DUE","",COUNTIF($S$3:$S490,"DUE"))</f>
        <v/>
      </c>
    </row>
    <row r="491" customFormat="false" ht="15" hidden="false" customHeight="false" outlineLevel="0" collapsed="false">
      <c r="A491" s="12" t="str">
        <f aca="false">IF($F491="","",ROW()-2)</f>
        <v/>
      </c>
      <c r="B491" s="19"/>
      <c r="C491" s="20"/>
      <c r="D491" s="21"/>
      <c r="E491" s="21"/>
      <c r="F491" s="21"/>
      <c r="G491" s="20"/>
      <c r="H491" s="21"/>
      <c r="I491" s="20"/>
      <c r="J491" s="20"/>
      <c r="K491" s="21"/>
      <c r="L491" s="21"/>
      <c r="M491" s="22" t="str">
        <f aca="false">IF($B491="","",$B491+2)</f>
        <v/>
      </c>
      <c r="N491" s="20"/>
      <c r="O491" s="22" t="str">
        <f aca="false">IF($B491="","",$B491+5)</f>
        <v/>
      </c>
      <c r="P491" s="20"/>
      <c r="Q491" s="22" t="str">
        <f aca="false">IF($B491="","",$B491+10)</f>
        <v/>
      </c>
      <c r="R491" s="20"/>
      <c r="S491" s="23" t="str">
        <f aca="true">IF($B491="","",IF(AND($N491="Y",$P491="Y",$R491="Y"),"Done",IF(OR(AND($M491&lt;=TODAY(),$N491&lt;&gt;"Y"),AND($O491&lt;=TODAY(),$P491&lt;&gt;"Y"),AND($Q491&lt;=TODAY(),$R491&lt;&gt;"Y")),"DUE","Scheduled")))</f>
        <v/>
      </c>
      <c r="T491" s="20"/>
      <c r="U491" s="23" t="str">
        <f aca="false">IF($B491="","",IF(OR($T491&lt;=2,$I491="Editorial"),"REDO",""))</f>
        <v/>
      </c>
      <c r="V491" s="18" t="str">
        <f aca="false">IF($S491&lt;&gt;"DUE","",COUNTIF($S$3:$S491,"DUE"))</f>
        <v/>
      </c>
    </row>
    <row r="492" customFormat="false" ht="15" hidden="false" customHeight="false" outlineLevel="0" collapsed="false">
      <c r="A492" s="12" t="str">
        <f aca="false">IF($F492="","",ROW()-2)</f>
        <v/>
      </c>
      <c r="B492" s="19"/>
      <c r="C492" s="20"/>
      <c r="D492" s="21"/>
      <c r="E492" s="21"/>
      <c r="F492" s="21"/>
      <c r="G492" s="20"/>
      <c r="H492" s="21"/>
      <c r="I492" s="20"/>
      <c r="J492" s="20"/>
      <c r="K492" s="21"/>
      <c r="L492" s="21"/>
      <c r="M492" s="22" t="str">
        <f aca="false">IF($B492="","",$B492+2)</f>
        <v/>
      </c>
      <c r="N492" s="20"/>
      <c r="O492" s="22" t="str">
        <f aca="false">IF($B492="","",$B492+5)</f>
        <v/>
      </c>
      <c r="P492" s="20"/>
      <c r="Q492" s="22" t="str">
        <f aca="false">IF($B492="","",$B492+10)</f>
        <v/>
      </c>
      <c r="R492" s="20"/>
      <c r="S492" s="23" t="str">
        <f aca="true">IF($B492="","",IF(AND($N492="Y",$P492="Y",$R492="Y"),"Done",IF(OR(AND($M492&lt;=TODAY(),$N492&lt;&gt;"Y"),AND($O492&lt;=TODAY(),$P492&lt;&gt;"Y"),AND($Q492&lt;=TODAY(),$R492&lt;&gt;"Y")),"DUE","Scheduled")))</f>
        <v/>
      </c>
      <c r="T492" s="20"/>
      <c r="U492" s="23" t="str">
        <f aca="false">IF($B492="","",IF(OR($T492&lt;=2,$I492="Editorial"),"REDO",""))</f>
        <v/>
      </c>
      <c r="V492" s="18" t="str">
        <f aca="false">IF($S492&lt;&gt;"DUE","",COUNTIF($S$3:$S492,"DUE"))</f>
        <v/>
      </c>
    </row>
    <row r="493" customFormat="false" ht="15" hidden="false" customHeight="false" outlineLevel="0" collapsed="false">
      <c r="A493" s="12" t="str">
        <f aca="false">IF($F493="","",ROW()-2)</f>
        <v/>
      </c>
      <c r="B493" s="19"/>
      <c r="C493" s="20"/>
      <c r="D493" s="21"/>
      <c r="E493" s="21"/>
      <c r="F493" s="21"/>
      <c r="G493" s="20"/>
      <c r="H493" s="21"/>
      <c r="I493" s="20"/>
      <c r="J493" s="20"/>
      <c r="K493" s="21"/>
      <c r="L493" s="21"/>
      <c r="M493" s="22" t="str">
        <f aca="false">IF($B493="","",$B493+2)</f>
        <v/>
      </c>
      <c r="N493" s="20"/>
      <c r="O493" s="22" t="str">
        <f aca="false">IF($B493="","",$B493+5)</f>
        <v/>
      </c>
      <c r="P493" s="20"/>
      <c r="Q493" s="22" t="str">
        <f aca="false">IF($B493="","",$B493+10)</f>
        <v/>
      </c>
      <c r="R493" s="20"/>
      <c r="S493" s="23" t="str">
        <f aca="true">IF($B493="","",IF(AND($N493="Y",$P493="Y",$R493="Y"),"Done",IF(OR(AND($M493&lt;=TODAY(),$N493&lt;&gt;"Y"),AND($O493&lt;=TODAY(),$P493&lt;&gt;"Y"),AND($Q493&lt;=TODAY(),$R493&lt;&gt;"Y")),"DUE","Scheduled")))</f>
        <v/>
      </c>
      <c r="T493" s="20"/>
      <c r="U493" s="23" t="str">
        <f aca="false">IF($B493="","",IF(OR($T493&lt;=2,$I493="Editorial"),"REDO",""))</f>
        <v/>
      </c>
      <c r="V493" s="18" t="str">
        <f aca="false">IF($S493&lt;&gt;"DUE","",COUNTIF($S$3:$S493,"DUE"))</f>
        <v/>
      </c>
    </row>
    <row r="494" customFormat="false" ht="15" hidden="false" customHeight="false" outlineLevel="0" collapsed="false">
      <c r="A494" s="12" t="str">
        <f aca="false">IF($F494="","",ROW()-2)</f>
        <v/>
      </c>
      <c r="B494" s="19"/>
      <c r="C494" s="20"/>
      <c r="D494" s="21"/>
      <c r="E494" s="21"/>
      <c r="F494" s="21"/>
      <c r="G494" s="20"/>
      <c r="H494" s="21"/>
      <c r="I494" s="20"/>
      <c r="J494" s="20"/>
      <c r="K494" s="21"/>
      <c r="L494" s="21"/>
      <c r="M494" s="22" t="str">
        <f aca="false">IF($B494="","",$B494+2)</f>
        <v/>
      </c>
      <c r="N494" s="20"/>
      <c r="O494" s="22" t="str">
        <f aca="false">IF($B494="","",$B494+5)</f>
        <v/>
      </c>
      <c r="P494" s="20"/>
      <c r="Q494" s="22" t="str">
        <f aca="false">IF($B494="","",$B494+10)</f>
        <v/>
      </c>
      <c r="R494" s="20"/>
      <c r="S494" s="23" t="str">
        <f aca="true">IF($B494="","",IF(AND($N494="Y",$P494="Y",$R494="Y"),"Done",IF(OR(AND($M494&lt;=TODAY(),$N494&lt;&gt;"Y"),AND($O494&lt;=TODAY(),$P494&lt;&gt;"Y"),AND($Q494&lt;=TODAY(),$R494&lt;&gt;"Y")),"DUE","Scheduled")))</f>
        <v/>
      </c>
      <c r="T494" s="20"/>
      <c r="U494" s="23" t="str">
        <f aca="false">IF($B494="","",IF(OR($T494&lt;=2,$I494="Editorial"),"REDO",""))</f>
        <v/>
      </c>
      <c r="V494" s="18" t="str">
        <f aca="false">IF($S494&lt;&gt;"DUE","",COUNTIF($S$3:$S494,"DUE"))</f>
        <v/>
      </c>
    </row>
    <row r="495" customFormat="false" ht="15" hidden="false" customHeight="false" outlineLevel="0" collapsed="false">
      <c r="A495" s="12" t="str">
        <f aca="false">IF($F495="","",ROW()-2)</f>
        <v/>
      </c>
      <c r="B495" s="19"/>
      <c r="C495" s="20"/>
      <c r="D495" s="21"/>
      <c r="E495" s="21"/>
      <c r="F495" s="21"/>
      <c r="G495" s="20"/>
      <c r="H495" s="21"/>
      <c r="I495" s="20"/>
      <c r="J495" s="20"/>
      <c r="K495" s="21"/>
      <c r="L495" s="21"/>
      <c r="M495" s="22" t="str">
        <f aca="false">IF($B495="","",$B495+2)</f>
        <v/>
      </c>
      <c r="N495" s="20"/>
      <c r="O495" s="22" t="str">
        <f aca="false">IF($B495="","",$B495+5)</f>
        <v/>
      </c>
      <c r="P495" s="20"/>
      <c r="Q495" s="22" t="str">
        <f aca="false">IF($B495="","",$B495+10)</f>
        <v/>
      </c>
      <c r="R495" s="20"/>
      <c r="S495" s="23" t="str">
        <f aca="true">IF($B495="","",IF(AND($N495="Y",$P495="Y",$R495="Y"),"Done",IF(OR(AND($M495&lt;=TODAY(),$N495&lt;&gt;"Y"),AND($O495&lt;=TODAY(),$P495&lt;&gt;"Y"),AND($Q495&lt;=TODAY(),$R495&lt;&gt;"Y")),"DUE","Scheduled")))</f>
        <v/>
      </c>
      <c r="T495" s="20"/>
      <c r="U495" s="23" t="str">
        <f aca="false">IF($B495="","",IF(OR($T495&lt;=2,$I495="Editorial"),"REDO",""))</f>
        <v/>
      </c>
      <c r="V495" s="18" t="str">
        <f aca="false">IF($S495&lt;&gt;"DUE","",COUNTIF($S$3:$S495,"DUE"))</f>
        <v/>
      </c>
    </row>
    <row r="496" customFormat="false" ht="15" hidden="false" customHeight="false" outlineLevel="0" collapsed="false">
      <c r="A496" s="12" t="str">
        <f aca="false">IF($F496="","",ROW()-2)</f>
        <v/>
      </c>
      <c r="B496" s="19"/>
      <c r="C496" s="20"/>
      <c r="D496" s="21"/>
      <c r="E496" s="21"/>
      <c r="F496" s="21"/>
      <c r="G496" s="20"/>
      <c r="H496" s="21"/>
      <c r="I496" s="20"/>
      <c r="J496" s="20"/>
      <c r="K496" s="21"/>
      <c r="L496" s="21"/>
      <c r="M496" s="22" t="str">
        <f aca="false">IF($B496="","",$B496+2)</f>
        <v/>
      </c>
      <c r="N496" s="20"/>
      <c r="O496" s="22" t="str">
        <f aca="false">IF($B496="","",$B496+5)</f>
        <v/>
      </c>
      <c r="P496" s="20"/>
      <c r="Q496" s="22" t="str">
        <f aca="false">IF($B496="","",$B496+10)</f>
        <v/>
      </c>
      <c r="R496" s="20"/>
      <c r="S496" s="23" t="str">
        <f aca="true">IF($B496="","",IF(AND($N496="Y",$P496="Y",$R496="Y"),"Done",IF(OR(AND($M496&lt;=TODAY(),$N496&lt;&gt;"Y"),AND($O496&lt;=TODAY(),$P496&lt;&gt;"Y"),AND($Q496&lt;=TODAY(),$R496&lt;&gt;"Y")),"DUE","Scheduled")))</f>
        <v/>
      </c>
      <c r="T496" s="20"/>
      <c r="U496" s="23" t="str">
        <f aca="false">IF($B496="","",IF(OR($T496&lt;=2,$I496="Editorial"),"REDO",""))</f>
        <v/>
      </c>
      <c r="V496" s="18" t="str">
        <f aca="false">IF($S496&lt;&gt;"DUE","",COUNTIF($S$3:$S496,"DUE"))</f>
        <v/>
      </c>
    </row>
    <row r="497" customFormat="false" ht="15" hidden="false" customHeight="false" outlineLevel="0" collapsed="false">
      <c r="A497" s="12" t="str">
        <f aca="false">IF($F497="","",ROW()-2)</f>
        <v/>
      </c>
      <c r="B497" s="19"/>
      <c r="C497" s="20"/>
      <c r="D497" s="21"/>
      <c r="E497" s="21"/>
      <c r="F497" s="21"/>
      <c r="G497" s="20"/>
      <c r="H497" s="21"/>
      <c r="I497" s="20"/>
      <c r="J497" s="20"/>
      <c r="K497" s="21"/>
      <c r="L497" s="21"/>
      <c r="M497" s="22" t="str">
        <f aca="false">IF($B497="","",$B497+2)</f>
        <v/>
      </c>
      <c r="N497" s="20"/>
      <c r="O497" s="22" t="str">
        <f aca="false">IF($B497="","",$B497+5)</f>
        <v/>
      </c>
      <c r="P497" s="20"/>
      <c r="Q497" s="22" t="str">
        <f aca="false">IF($B497="","",$B497+10)</f>
        <v/>
      </c>
      <c r="R497" s="20"/>
      <c r="S497" s="23" t="str">
        <f aca="true">IF($B497="","",IF(AND($N497="Y",$P497="Y",$R497="Y"),"Done",IF(OR(AND($M497&lt;=TODAY(),$N497&lt;&gt;"Y"),AND($O497&lt;=TODAY(),$P497&lt;&gt;"Y"),AND($Q497&lt;=TODAY(),$R497&lt;&gt;"Y")),"DUE","Scheduled")))</f>
        <v/>
      </c>
      <c r="T497" s="20"/>
      <c r="U497" s="23" t="str">
        <f aca="false">IF($B497="","",IF(OR($T497&lt;=2,$I497="Editorial"),"REDO",""))</f>
        <v/>
      </c>
      <c r="V497" s="18" t="str">
        <f aca="false">IF($S497&lt;&gt;"DUE","",COUNTIF($S$3:$S497,"DUE"))</f>
        <v/>
      </c>
    </row>
    <row r="498" customFormat="false" ht="15" hidden="false" customHeight="false" outlineLevel="0" collapsed="false">
      <c r="A498" s="12" t="str">
        <f aca="false">IF($F498="","",ROW()-2)</f>
        <v/>
      </c>
      <c r="B498" s="19"/>
      <c r="C498" s="20"/>
      <c r="D498" s="21"/>
      <c r="E498" s="21"/>
      <c r="F498" s="21"/>
      <c r="G498" s="20"/>
      <c r="H498" s="21"/>
      <c r="I498" s="20"/>
      <c r="J498" s="20"/>
      <c r="K498" s="21"/>
      <c r="L498" s="21"/>
      <c r="M498" s="22" t="str">
        <f aca="false">IF($B498="","",$B498+2)</f>
        <v/>
      </c>
      <c r="N498" s="20"/>
      <c r="O498" s="22" t="str">
        <f aca="false">IF($B498="","",$B498+5)</f>
        <v/>
      </c>
      <c r="P498" s="20"/>
      <c r="Q498" s="22" t="str">
        <f aca="false">IF($B498="","",$B498+10)</f>
        <v/>
      </c>
      <c r="R498" s="20"/>
      <c r="S498" s="23" t="str">
        <f aca="true">IF($B498="","",IF(AND($N498="Y",$P498="Y",$R498="Y"),"Done",IF(OR(AND($M498&lt;=TODAY(),$N498&lt;&gt;"Y"),AND($O498&lt;=TODAY(),$P498&lt;&gt;"Y"),AND($Q498&lt;=TODAY(),$R498&lt;&gt;"Y")),"DUE","Scheduled")))</f>
        <v/>
      </c>
      <c r="T498" s="20"/>
      <c r="U498" s="23" t="str">
        <f aca="false">IF($B498="","",IF(OR($T498&lt;=2,$I498="Editorial"),"REDO",""))</f>
        <v/>
      </c>
      <c r="V498" s="18" t="str">
        <f aca="false">IF($S498&lt;&gt;"DUE","",COUNTIF($S$3:$S498,"DUE"))</f>
        <v/>
      </c>
    </row>
    <row r="499" customFormat="false" ht="15" hidden="false" customHeight="false" outlineLevel="0" collapsed="false">
      <c r="A499" s="12" t="str">
        <f aca="false">IF($F499="","",ROW()-2)</f>
        <v/>
      </c>
      <c r="B499" s="19"/>
      <c r="C499" s="20"/>
      <c r="D499" s="21"/>
      <c r="E499" s="21"/>
      <c r="F499" s="21"/>
      <c r="G499" s="20"/>
      <c r="H499" s="21"/>
      <c r="I499" s="20"/>
      <c r="J499" s="20"/>
      <c r="K499" s="21"/>
      <c r="L499" s="21"/>
      <c r="M499" s="22" t="str">
        <f aca="false">IF($B499="","",$B499+2)</f>
        <v/>
      </c>
      <c r="N499" s="20"/>
      <c r="O499" s="22" t="str">
        <f aca="false">IF($B499="","",$B499+5)</f>
        <v/>
      </c>
      <c r="P499" s="20"/>
      <c r="Q499" s="22" t="str">
        <f aca="false">IF($B499="","",$B499+10)</f>
        <v/>
      </c>
      <c r="R499" s="20"/>
      <c r="S499" s="23" t="str">
        <f aca="true">IF($B499="","",IF(AND($N499="Y",$P499="Y",$R499="Y"),"Done",IF(OR(AND($M499&lt;=TODAY(),$N499&lt;&gt;"Y"),AND($O499&lt;=TODAY(),$P499&lt;&gt;"Y"),AND($Q499&lt;=TODAY(),$R499&lt;&gt;"Y")),"DUE","Scheduled")))</f>
        <v/>
      </c>
      <c r="T499" s="20"/>
      <c r="U499" s="23" t="str">
        <f aca="false">IF($B499="","",IF(OR($T499&lt;=2,$I499="Editorial"),"REDO",""))</f>
        <v/>
      </c>
      <c r="V499" s="18" t="str">
        <f aca="false">IF($S499&lt;&gt;"DUE","",COUNTIF($S$3:$S499,"DUE"))</f>
        <v/>
      </c>
    </row>
    <row r="500" customFormat="false" ht="15" hidden="false" customHeight="false" outlineLevel="0" collapsed="false">
      <c r="A500" s="12" t="str">
        <f aca="false">IF($F500="","",ROW()-2)</f>
        <v/>
      </c>
      <c r="B500" s="19"/>
      <c r="C500" s="20"/>
      <c r="D500" s="21"/>
      <c r="E500" s="21"/>
      <c r="F500" s="21"/>
      <c r="G500" s="20"/>
      <c r="H500" s="21"/>
      <c r="I500" s="20"/>
      <c r="J500" s="20"/>
      <c r="K500" s="21"/>
      <c r="L500" s="21"/>
      <c r="M500" s="22" t="str">
        <f aca="false">IF($B500="","",$B500+2)</f>
        <v/>
      </c>
      <c r="N500" s="20"/>
      <c r="O500" s="22" t="str">
        <f aca="false">IF($B500="","",$B500+5)</f>
        <v/>
      </c>
      <c r="P500" s="20"/>
      <c r="Q500" s="22" t="str">
        <f aca="false">IF($B500="","",$B500+10)</f>
        <v/>
      </c>
      <c r="R500" s="20"/>
      <c r="S500" s="23" t="str">
        <f aca="true">IF($B500="","",IF(AND($N500="Y",$P500="Y",$R500="Y"),"Done",IF(OR(AND($M500&lt;=TODAY(),$N500&lt;&gt;"Y"),AND($O500&lt;=TODAY(),$P500&lt;&gt;"Y"),AND($Q500&lt;=TODAY(),$R500&lt;&gt;"Y")),"DUE","Scheduled")))</f>
        <v/>
      </c>
      <c r="T500" s="20"/>
      <c r="U500" s="23" t="str">
        <f aca="false">IF($B500="","",IF(OR($T500&lt;=2,$I500="Editorial"),"REDO",""))</f>
        <v/>
      </c>
      <c r="V500" s="18" t="str">
        <f aca="false">IF($S500&lt;&gt;"DUE","",COUNTIF($S$3:$S500,"DUE"))</f>
        <v/>
      </c>
    </row>
    <row r="501" customFormat="false" ht="15" hidden="false" customHeight="false" outlineLevel="0" collapsed="false">
      <c r="A501" s="12" t="str">
        <f aca="false">IF($F501="","",ROW()-2)</f>
        <v/>
      </c>
      <c r="B501" s="19"/>
      <c r="C501" s="20"/>
      <c r="D501" s="21"/>
      <c r="E501" s="21"/>
      <c r="F501" s="21"/>
      <c r="G501" s="20"/>
      <c r="H501" s="21"/>
      <c r="I501" s="20"/>
      <c r="J501" s="20"/>
      <c r="K501" s="21"/>
      <c r="L501" s="21"/>
      <c r="M501" s="22" t="str">
        <f aca="false">IF($B501="","",$B501+2)</f>
        <v/>
      </c>
      <c r="N501" s="20"/>
      <c r="O501" s="22" t="str">
        <f aca="false">IF($B501="","",$B501+5)</f>
        <v/>
      </c>
      <c r="P501" s="20"/>
      <c r="Q501" s="22" t="str">
        <f aca="false">IF($B501="","",$B501+10)</f>
        <v/>
      </c>
      <c r="R501" s="20"/>
      <c r="S501" s="23" t="str">
        <f aca="true">IF($B501="","",IF(AND($N501="Y",$P501="Y",$R501="Y"),"Done",IF(OR(AND($M501&lt;=TODAY(),$N501&lt;&gt;"Y"),AND($O501&lt;=TODAY(),$P501&lt;&gt;"Y"),AND($Q501&lt;=TODAY(),$R501&lt;&gt;"Y")),"DUE","Scheduled")))</f>
        <v/>
      </c>
      <c r="T501" s="20"/>
      <c r="U501" s="23" t="str">
        <f aca="false">IF($B501="","",IF(OR($T501&lt;=2,$I501="Editorial"),"REDO",""))</f>
        <v/>
      </c>
      <c r="V501" s="18" t="str">
        <f aca="false">IF($S501&lt;&gt;"DUE","",COUNTIF($S$3:$S501,"DUE"))</f>
        <v/>
      </c>
    </row>
    <row r="502" customFormat="false" ht="15" hidden="false" customHeight="false" outlineLevel="0" collapsed="false">
      <c r="A502" s="12" t="str">
        <f aca="false">IF($F502="","",ROW()-2)</f>
        <v/>
      </c>
      <c r="B502" s="19"/>
      <c r="C502" s="20"/>
      <c r="D502" s="21"/>
      <c r="E502" s="21"/>
      <c r="F502" s="21"/>
      <c r="G502" s="20"/>
      <c r="H502" s="21"/>
      <c r="I502" s="20"/>
      <c r="J502" s="20"/>
      <c r="K502" s="21"/>
      <c r="L502" s="21"/>
      <c r="M502" s="22" t="str">
        <f aca="false">IF($B502="","",$B502+2)</f>
        <v/>
      </c>
      <c r="N502" s="20"/>
      <c r="O502" s="22" t="str">
        <f aca="false">IF($B502="","",$B502+5)</f>
        <v/>
      </c>
      <c r="P502" s="20"/>
      <c r="Q502" s="22" t="str">
        <f aca="false">IF($B502="","",$B502+10)</f>
        <v/>
      </c>
      <c r="R502" s="20"/>
      <c r="S502" s="23" t="str">
        <f aca="true">IF($B502="","",IF(AND($N502="Y",$P502="Y",$R502="Y"),"Done",IF(OR(AND($M502&lt;=TODAY(),$N502&lt;&gt;"Y"),AND($O502&lt;=TODAY(),$P502&lt;&gt;"Y"),AND($Q502&lt;=TODAY(),$R502&lt;&gt;"Y")),"DUE","Scheduled")))</f>
        <v/>
      </c>
      <c r="T502" s="20"/>
      <c r="U502" s="23" t="str">
        <f aca="false">IF($B502="","",IF(OR($T502&lt;=2,$I502="Editorial"),"REDO",""))</f>
        <v/>
      </c>
      <c r="V502" s="18" t="str">
        <f aca="false">IF($S502&lt;&gt;"DUE","",COUNTIF($S$3:$S502,"DUE"))</f>
        <v/>
      </c>
    </row>
    <row r="503" customFormat="false" ht="15" hidden="false" customHeight="false" outlineLevel="0" collapsed="false">
      <c r="A503" s="12" t="str">
        <f aca="false">IF($F503="","",ROW()-2)</f>
        <v/>
      </c>
      <c r="B503" s="19"/>
      <c r="C503" s="20"/>
      <c r="D503" s="21"/>
      <c r="E503" s="21"/>
      <c r="F503" s="21"/>
      <c r="G503" s="20"/>
      <c r="H503" s="21"/>
      <c r="I503" s="20"/>
      <c r="J503" s="20"/>
      <c r="K503" s="21"/>
      <c r="L503" s="21"/>
      <c r="M503" s="22" t="str">
        <f aca="false">IF($B503="","",$B503+2)</f>
        <v/>
      </c>
      <c r="N503" s="20"/>
      <c r="O503" s="22" t="str">
        <f aca="false">IF($B503="","",$B503+5)</f>
        <v/>
      </c>
      <c r="P503" s="20"/>
      <c r="Q503" s="22" t="str">
        <f aca="false">IF($B503="","",$B503+10)</f>
        <v/>
      </c>
      <c r="R503" s="20"/>
      <c r="S503" s="23" t="str">
        <f aca="true">IF($B503="","",IF(AND($N503="Y",$P503="Y",$R503="Y"),"Done",IF(OR(AND($M503&lt;=TODAY(),$N503&lt;&gt;"Y"),AND($O503&lt;=TODAY(),$P503&lt;&gt;"Y"),AND($Q503&lt;=TODAY(),$R503&lt;&gt;"Y")),"DUE","Scheduled")))</f>
        <v/>
      </c>
      <c r="T503" s="20"/>
      <c r="U503" s="23" t="str">
        <f aca="false">IF($B503="","",IF(OR($T503&lt;=2,$I503="Editorial"),"REDO",""))</f>
        <v/>
      </c>
      <c r="V503" s="18" t="str">
        <f aca="false">IF($S503&lt;&gt;"DUE","",COUNTIF($S$3:$S503,"DUE"))</f>
        <v/>
      </c>
    </row>
    <row r="504" customFormat="false" ht="15" hidden="false" customHeight="false" outlineLevel="0" collapsed="false">
      <c r="A504" s="12" t="str">
        <f aca="false">IF($F504="","",ROW()-2)</f>
        <v/>
      </c>
      <c r="B504" s="19"/>
      <c r="C504" s="20"/>
      <c r="D504" s="21"/>
      <c r="E504" s="21"/>
      <c r="F504" s="21"/>
      <c r="G504" s="20"/>
      <c r="H504" s="21"/>
      <c r="I504" s="20"/>
      <c r="J504" s="20"/>
      <c r="K504" s="21"/>
      <c r="L504" s="21"/>
      <c r="M504" s="22" t="str">
        <f aca="false">IF($B504="","",$B504+2)</f>
        <v/>
      </c>
      <c r="N504" s="20"/>
      <c r="O504" s="22" t="str">
        <f aca="false">IF($B504="","",$B504+5)</f>
        <v/>
      </c>
      <c r="P504" s="20"/>
      <c r="Q504" s="22" t="str">
        <f aca="false">IF($B504="","",$B504+10)</f>
        <v/>
      </c>
      <c r="R504" s="20"/>
      <c r="S504" s="23" t="str">
        <f aca="true">IF($B504="","",IF(AND($N504="Y",$P504="Y",$R504="Y"),"Done",IF(OR(AND($M504&lt;=TODAY(),$N504&lt;&gt;"Y"),AND($O504&lt;=TODAY(),$P504&lt;&gt;"Y"),AND($Q504&lt;=TODAY(),$R504&lt;&gt;"Y")),"DUE","Scheduled")))</f>
        <v/>
      </c>
      <c r="T504" s="20"/>
      <c r="U504" s="23" t="str">
        <f aca="false">IF($B504="","",IF(OR($T504&lt;=2,$I504="Editorial"),"REDO",""))</f>
        <v/>
      </c>
      <c r="V504" s="18" t="str">
        <f aca="false">IF($S504&lt;&gt;"DUE","",COUNTIF($S$3:$S504,"DUE"))</f>
        <v/>
      </c>
    </row>
    <row r="505" customFormat="false" ht="15" hidden="false" customHeight="false" outlineLevel="0" collapsed="false">
      <c r="A505" s="12" t="str">
        <f aca="false">IF($F505="","",ROW()-2)</f>
        <v/>
      </c>
      <c r="B505" s="19"/>
      <c r="C505" s="20"/>
      <c r="D505" s="21"/>
      <c r="E505" s="21"/>
      <c r="F505" s="21"/>
      <c r="G505" s="20"/>
      <c r="H505" s="21"/>
      <c r="I505" s="20"/>
      <c r="J505" s="20"/>
      <c r="K505" s="21"/>
      <c r="L505" s="21"/>
      <c r="M505" s="22" t="str">
        <f aca="false">IF($B505="","",$B505+2)</f>
        <v/>
      </c>
      <c r="N505" s="20"/>
      <c r="O505" s="22" t="str">
        <f aca="false">IF($B505="","",$B505+5)</f>
        <v/>
      </c>
      <c r="P505" s="20"/>
      <c r="Q505" s="22" t="str">
        <f aca="false">IF($B505="","",$B505+10)</f>
        <v/>
      </c>
      <c r="R505" s="20"/>
      <c r="S505" s="23" t="str">
        <f aca="true">IF($B505="","",IF(AND($N505="Y",$P505="Y",$R505="Y"),"Done",IF(OR(AND($M505&lt;=TODAY(),$N505&lt;&gt;"Y"),AND($O505&lt;=TODAY(),$P505&lt;&gt;"Y"),AND($Q505&lt;=TODAY(),$R505&lt;&gt;"Y")),"DUE","Scheduled")))</f>
        <v/>
      </c>
      <c r="T505" s="20"/>
      <c r="U505" s="23" t="str">
        <f aca="false">IF($B505="","",IF(OR($T505&lt;=2,$I505="Editorial"),"REDO",""))</f>
        <v/>
      </c>
      <c r="V505" s="18" t="str">
        <f aca="false">IF($S505&lt;&gt;"DUE","",COUNTIF($S$3:$S505,"DUE"))</f>
        <v/>
      </c>
    </row>
    <row r="506" customFormat="false" ht="15" hidden="false" customHeight="false" outlineLevel="0" collapsed="false">
      <c r="A506" s="12" t="str">
        <f aca="false">IF($F506="","",ROW()-2)</f>
        <v/>
      </c>
      <c r="B506" s="19"/>
      <c r="C506" s="20"/>
      <c r="D506" s="21"/>
      <c r="E506" s="21"/>
      <c r="F506" s="21"/>
      <c r="G506" s="20"/>
      <c r="H506" s="21"/>
      <c r="I506" s="20"/>
      <c r="J506" s="20"/>
      <c r="K506" s="21"/>
      <c r="L506" s="21"/>
      <c r="M506" s="22" t="str">
        <f aca="false">IF($B506="","",$B506+2)</f>
        <v/>
      </c>
      <c r="N506" s="20"/>
      <c r="O506" s="22" t="str">
        <f aca="false">IF($B506="","",$B506+5)</f>
        <v/>
      </c>
      <c r="P506" s="20"/>
      <c r="Q506" s="22" t="str">
        <f aca="false">IF($B506="","",$B506+10)</f>
        <v/>
      </c>
      <c r="R506" s="20"/>
      <c r="S506" s="23" t="str">
        <f aca="true">IF($B506="","",IF(AND($N506="Y",$P506="Y",$R506="Y"),"Done",IF(OR(AND($M506&lt;=TODAY(),$N506&lt;&gt;"Y"),AND($O506&lt;=TODAY(),$P506&lt;&gt;"Y"),AND($Q506&lt;=TODAY(),$R506&lt;&gt;"Y")),"DUE","Scheduled")))</f>
        <v/>
      </c>
      <c r="T506" s="20"/>
      <c r="U506" s="23" t="str">
        <f aca="false">IF($B506="","",IF(OR($T506&lt;=2,$I506="Editorial"),"REDO",""))</f>
        <v/>
      </c>
      <c r="V506" s="18" t="str">
        <f aca="false">IF($S506&lt;&gt;"DUE","",COUNTIF($S$3:$S506,"DUE"))</f>
        <v/>
      </c>
    </row>
    <row r="507" customFormat="false" ht="15" hidden="false" customHeight="false" outlineLevel="0" collapsed="false">
      <c r="A507" s="12" t="str">
        <f aca="false">IF($F507="","",ROW()-2)</f>
        <v/>
      </c>
      <c r="B507" s="19"/>
      <c r="C507" s="20"/>
      <c r="D507" s="21"/>
      <c r="E507" s="21"/>
      <c r="F507" s="21"/>
      <c r="G507" s="20"/>
      <c r="H507" s="21"/>
      <c r="I507" s="20"/>
      <c r="J507" s="20"/>
      <c r="K507" s="21"/>
      <c r="L507" s="21"/>
      <c r="M507" s="22" t="str">
        <f aca="false">IF($B507="","",$B507+2)</f>
        <v/>
      </c>
      <c r="N507" s="20"/>
      <c r="O507" s="22" t="str">
        <f aca="false">IF($B507="","",$B507+5)</f>
        <v/>
      </c>
      <c r="P507" s="20"/>
      <c r="Q507" s="22" t="str">
        <f aca="false">IF($B507="","",$B507+10)</f>
        <v/>
      </c>
      <c r="R507" s="20"/>
      <c r="S507" s="23" t="str">
        <f aca="true">IF($B507="","",IF(AND($N507="Y",$P507="Y",$R507="Y"),"Done",IF(OR(AND($M507&lt;=TODAY(),$N507&lt;&gt;"Y"),AND($O507&lt;=TODAY(),$P507&lt;&gt;"Y"),AND($Q507&lt;=TODAY(),$R507&lt;&gt;"Y")),"DUE","Scheduled")))</f>
        <v/>
      </c>
      <c r="T507" s="20"/>
      <c r="U507" s="23" t="str">
        <f aca="false">IF($B507="","",IF(OR($T507&lt;=2,$I507="Editorial"),"REDO",""))</f>
        <v/>
      </c>
      <c r="V507" s="18" t="str">
        <f aca="false">IF($S507&lt;&gt;"DUE","",COUNTIF($S$3:$S507,"DUE"))</f>
        <v/>
      </c>
    </row>
    <row r="508" customFormat="false" ht="15" hidden="false" customHeight="false" outlineLevel="0" collapsed="false">
      <c r="A508" s="12" t="str">
        <f aca="false">IF($F508="","",ROW()-2)</f>
        <v/>
      </c>
      <c r="B508" s="19"/>
      <c r="C508" s="20"/>
      <c r="D508" s="21"/>
      <c r="E508" s="21"/>
      <c r="F508" s="21"/>
      <c r="G508" s="20"/>
      <c r="H508" s="21"/>
      <c r="I508" s="20"/>
      <c r="J508" s="20"/>
      <c r="K508" s="21"/>
      <c r="L508" s="21"/>
      <c r="M508" s="22" t="str">
        <f aca="false">IF($B508="","",$B508+2)</f>
        <v/>
      </c>
      <c r="N508" s="20"/>
      <c r="O508" s="22" t="str">
        <f aca="false">IF($B508="","",$B508+5)</f>
        <v/>
      </c>
      <c r="P508" s="20"/>
      <c r="Q508" s="22" t="str">
        <f aca="false">IF($B508="","",$B508+10)</f>
        <v/>
      </c>
      <c r="R508" s="20"/>
      <c r="S508" s="23" t="str">
        <f aca="true">IF($B508="","",IF(AND($N508="Y",$P508="Y",$R508="Y"),"Done",IF(OR(AND($M508&lt;=TODAY(),$N508&lt;&gt;"Y"),AND($O508&lt;=TODAY(),$P508&lt;&gt;"Y"),AND($Q508&lt;=TODAY(),$R508&lt;&gt;"Y")),"DUE","Scheduled")))</f>
        <v/>
      </c>
      <c r="T508" s="20"/>
      <c r="U508" s="23" t="str">
        <f aca="false">IF($B508="","",IF(OR($T508&lt;=2,$I508="Editorial"),"REDO",""))</f>
        <v/>
      </c>
      <c r="V508" s="18" t="str">
        <f aca="false">IF($S508&lt;&gt;"DUE","",COUNTIF($S$3:$S508,"DUE"))</f>
        <v/>
      </c>
    </row>
    <row r="509" customFormat="false" ht="15" hidden="false" customHeight="false" outlineLevel="0" collapsed="false">
      <c r="A509" s="12" t="str">
        <f aca="false">IF($F509="","",ROW()-2)</f>
        <v/>
      </c>
      <c r="B509" s="19"/>
      <c r="C509" s="20"/>
      <c r="D509" s="21"/>
      <c r="E509" s="21"/>
      <c r="F509" s="21"/>
      <c r="G509" s="20"/>
      <c r="H509" s="21"/>
      <c r="I509" s="20"/>
      <c r="J509" s="20"/>
      <c r="K509" s="21"/>
      <c r="L509" s="21"/>
      <c r="M509" s="22" t="str">
        <f aca="false">IF($B509="","",$B509+2)</f>
        <v/>
      </c>
      <c r="N509" s="20"/>
      <c r="O509" s="22" t="str">
        <f aca="false">IF($B509="","",$B509+5)</f>
        <v/>
      </c>
      <c r="P509" s="20"/>
      <c r="Q509" s="22" t="str">
        <f aca="false">IF($B509="","",$B509+10)</f>
        <v/>
      </c>
      <c r="R509" s="20"/>
      <c r="S509" s="23" t="str">
        <f aca="true">IF($B509="","",IF(AND($N509="Y",$P509="Y",$R509="Y"),"Done",IF(OR(AND($M509&lt;=TODAY(),$N509&lt;&gt;"Y"),AND($O509&lt;=TODAY(),$P509&lt;&gt;"Y"),AND($Q509&lt;=TODAY(),$R509&lt;&gt;"Y")),"DUE","Scheduled")))</f>
        <v/>
      </c>
      <c r="T509" s="20"/>
      <c r="U509" s="23" t="str">
        <f aca="false">IF($B509="","",IF(OR($T509&lt;=2,$I509="Editorial"),"REDO",""))</f>
        <v/>
      </c>
      <c r="V509" s="18" t="str">
        <f aca="false">IF($S509&lt;&gt;"DUE","",COUNTIF($S$3:$S509,"DUE"))</f>
        <v/>
      </c>
    </row>
    <row r="510" customFormat="false" ht="15" hidden="false" customHeight="false" outlineLevel="0" collapsed="false">
      <c r="A510" s="12" t="str">
        <f aca="false">IF($F510="","",ROW()-2)</f>
        <v/>
      </c>
      <c r="B510" s="19"/>
      <c r="C510" s="20"/>
      <c r="D510" s="21"/>
      <c r="E510" s="21"/>
      <c r="F510" s="21"/>
      <c r="G510" s="20"/>
      <c r="H510" s="21"/>
      <c r="I510" s="20"/>
      <c r="J510" s="20"/>
      <c r="K510" s="21"/>
      <c r="L510" s="21"/>
      <c r="M510" s="22" t="str">
        <f aca="false">IF($B510="","",$B510+2)</f>
        <v/>
      </c>
      <c r="N510" s="20"/>
      <c r="O510" s="22" t="str">
        <f aca="false">IF($B510="","",$B510+5)</f>
        <v/>
      </c>
      <c r="P510" s="20"/>
      <c r="Q510" s="22" t="str">
        <f aca="false">IF($B510="","",$B510+10)</f>
        <v/>
      </c>
      <c r="R510" s="20"/>
      <c r="S510" s="23" t="str">
        <f aca="true">IF($B510="","",IF(AND($N510="Y",$P510="Y",$R510="Y"),"Done",IF(OR(AND($M510&lt;=TODAY(),$N510&lt;&gt;"Y"),AND($O510&lt;=TODAY(),$P510&lt;&gt;"Y"),AND($Q510&lt;=TODAY(),$R510&lt;&gt;"Y")),"DUE","Scheduled")))</f>
        <v/>
      </c>
      <c r="T510" s="20"/>
      <c r="U510" s="23" t="str">
        <f aca="false">IF($B510="","",IF(OR($T510&lt;=2,$I510="Editorial"),"REDO",""))</f>
        <v/>
      </c>
      <c r="V510" s="18" t="str">
        <f aca="false">IF($S510&lt;&gt;"DUE","",COUNTIF($S$3:$S510,"DUE"))</f>
        <v/>
      </c>
    </row>
    <row r="511" customFormat="false" ht="15" hidden="false" customHeight="false" outlineLevel="0" collapsed="false">
      <c r="A511" s="12" t="str">
        <f aca="false">IF($F511="","",ROW()-2)</f>
        <v/>
      </c>
      <c r="B511" s="19"/>
      <c r="C511" s="20"/>
      <c r="D511" s="21"/>
      <c r="E511" s="21"/>
      <c r="F511" s="21"/>
      <c r="G511" s="20"/>
      <c r="H511" s="21"/>
      <c r="I511" s="20"/>
      <c r="J511" s="20"/>
      <c r="K511" s="21"/>
      <c r="L511" s="21"/>
      <c r="M511" s="22" t="str">
        <f aca="false">IF($B511="","",$B511+2)</f>
        <v/>
      </c>
      <c r="N511" s="20"/>
      <c r="O511" s="22" t="str">
        <f aca="false">IF($B511="","",$B511+5)</f>
        <v/>
      </c>
      <c r="P511" s="20"/>
      <c r="Q511" s="22" t="str">
        <f aca="false">IF($B511="","",$B511+10)</f>
        <v/>
      </c>
      <c r="R511" s="20"/>
      <c r="S511" s="23" t="str">
        <f aca="true">IF($B511="","",IF(AND($N511="Y",$P511="Y",$R511="Y"),"Done",IF(OR(AND($M511&lt;=TODAY(),$N511&lt;&gt;"Y"),AND($O511&lt;=TODAY(),$P511&lt;&gt;"Y"),AND($Q511&lt;=TODAY(),$R511&lt;&gt;"Y")),"DUE","Scheduled")))</f>
        <v/>
      </c>
      <c r="T511" s="20"/>
      <c r="U511" s="23" t="str">
        <f aca="false">IF($B511="","",IF(OR($T511&lt;=2,$I511="Editorial"),"REDO",""))</f>
        <v/>
      </c>
      <c r="V511" s="18" t="str">
        <f aca="false">IF($S511&lt;&gt;"DUE","",COUNTIF($S$3:$S511,"DUE"))</f>
        <v/>
      </c>
    </row>
    <row r="512" customFormat="false" ht="15" hidden="false" customHeight="false" outlineLevel="0" collapsed="false">
      <c r="A512" s="12" t="str">
        <f aca="false">IF($F512="","",ROW()-2)</f>
        <v/>
      </c>
      <c r="B512" s="19"/>
      <c r="C512" s="20"/>
      <c r="D512" s="21"/>
      <c r="E512" s="21"/>
      <c r="F512" s="21"/>
      <c r="G512" s="20"/>
      <c r="H512" s="21"/>
      <c r="I512" s="20"/>
      <c r="J512" s="20"/>
      <c r="K512" s="21"/>
      <c r="L512" s="21"/>
      <c r="M512" s="22" t="str">
        <f aca="false">IF($B512="","",$B512+2)</f>
        <v/>
      </c>
      <c r="N512" s="20"/>
      <c r="O512" s="22" t="str">
        <f aca="false">IF($B512="","",$B512+5)</f>
        <v/>
      </c>
      <c r="P512" s="20"/>
      <c r="Q512" s="22" t="str">
        <f aca="false">IF($B512="","",$B512+10)</f>
        <v/>
      </c>
      <c r="R512" s="20"/>
      <c r="S512" s="23" t="str">
        <f aca="true">IF($B512="","",IF(AND($N512="Y",$P512="Y",$R512="Y"),"Done",IF(OR(AND($M512&lt;=TODAY(),$N512&lt;&gt;"Y"),AND($O512&lt;=TODAY(),$P512&lt;&gt;"Y"),AND($Q512&lt;=TODAY(),$R512&lt;&gt;"Y")),"DUE","Scheduled")))</f>
        <v/>
      </c>
      <c r="T512" s="20"/>
      <c r="U512" s="23" t="str">
        <f aca="false">IF($B512="","",IF(OR($T512&lt;=2,$I512="Editorial"),"REDO",""))</f>
        <v/>
      </c>
      <c r="V512" s="18" t="str">
        <f aca="false">IF($S512&lt;&gt;"DUE","",COUNTIF($S$3:$S512,"DUE"))</f>
        <v/>
      </c>
    </row>
    <row r="513" customFormat="false" ht="15" hidden="false" customHeight="false" outlineLevel="0" collapsed="false">
      <c r="A513" s="12" t="str">
        <f aca="false">IF($F513="","",ROW()-2)</f>
        <v/>
      </c>
      <c r="B513" s="19"/>
      <c r="C513" s="20"/>
      <c r="D513" s="21"/>
      <c r="E513" s="21"/>
      <c r="F513" s="21"/>
      <c r="G513" s="20"/>
      <c r="H513" s="21"/>
      <c r="I513" s="20"/>
      <c r="J513" s="20"/>
      <c r="K513" s="21"/>
      <c r="L513" s="21"/>
      <c r="M513" s="22" t="str">
        <f aca="false">IF($B513="","",$B513+2)</f>
        <v/>
      </c>
      <c r="N513" s="20"/>
      <c r="O513" s="22" t="str">
        <f aca="false">IF($B513="","",$B513+5)</f>
        <v/>
      </c>
      <c r="P513" s="20"/>
      <c r="Q513" s="22" t="str">
        <f aca="false">IF($B513="","",$B513+10)</f>
        <v/>
      </c>
      <c r="R513" s="20"/>
      <c r="S513" s="23" t="str">
        <f aca="true">IF($B513="","",IF(AND($N513="Y",$P513="Y",$R513="Y"),"Done",IF(OR(AND($M513&lt;=TODAY(),$N513&lt;&gt;"Y"),AND($O513&lt;=TODAY(),$P513&lt;&gt;"Y"),AND($Q513&lt;=TODAY(),$R513&lt;&gt;"Y")),"DUE","Scheduled")))</f>
        <v/>
      </c>
      <c r="T513" s="20"/>
      <c r="U513" s="23" t="str">
        <f aca="false">IF($B513="","",IF(OR($T513&lt;=2,$I513="Editorial"),"REDO",""))</f>
        <v/>
      </c>
      <c r="V513" s="18" t="str">
        <f aca="false">IF($S513&lt;&gt;"DUE","",COUNTIF($S$3:$S513,"DUE"))</f>
        <v/>
      </c>
    </row>
    <row r="514" customFormat="false" ht="15" hidden="false" customHeight="false" outlineLevel="0" collapsed="false">
      <c r="A514" s="12" t="str">
        <f aca="false">IF($F514="","",ROW()-2)</f>
        <v/>
      </c>
      <c r="B514" s="19"/>
      <c r="C514" s="20"/>
      <c r="D514" s="21"/>
      <c r="E514" s="21"/>
      <c r="F514" s="21"/>
      <c r="G514" s="20"/>
      <c r="H514" s="21"/>
      <c r="I514" s="20"/>
      <c r="J514" s="20"/>
      <c r="K514" s="21"/>
      <c r="L514" s="21"/>
      <c r="M514" s="22" t="str">
        <f aca="false">IF($B514="","",$B514+2)</f>
        <v/>
      </c>
      <c r="N514" s="20"/>
      <c r="O514" s="22" t="str">
        <f aca="false">IF($B514="","",$B514+5)</f>
        <v/>
      </c>
      <c r="P514" s="20"/>
      <c r="Q514" s="22" t="str">
        <f aca="false">IF($B514="","",$B514+10)</f>
        <v/>
      </c>
      <c r="R514" s="20"/>
      <c r="S514" s="23" t="str">
        <f aca="true">IF($B514="","",IF(AND($N514="Y",$P514="Y",$R514="Y"),"Done",IF(OR(AND($M514&lt;=TODAY(),$N514&lt;&gt;"Y"),AND($O514&lt;=TODAY(),$P514&lt;&gt;"Y"),AND($Q514&lt;=TODAY(),$R514&lt;&gt;"Y")),"DUE","Scheduled")))</f>
        <v/>
      </c>
      <c r="T514" s="20"/>
      <c r="U514" s="23" t="str">
        <f aca="false">IF($B514="","",IF(OR($T514&lt;=2,$I514="Editorial"),"REDO",""))</f>
        <v/>
      </c>
      <c r="V514" s="18" t="str">
        <f aca="false">IF($S514&lt;&gt;"DUE","",COUNTIF($S$3:$S514,"DUE"))</f>
        <v/>
      </c>
    </row>
    <row r="515" customFormat="false" ht="15" hidden="false" customHeight="false" outlineLevel="0" collapsed="false">
      <c r="A515" s="12" t="str">
        <f aca="false">IF($F515="","",ROW()-2)</f>
        <v/>
      </c>
      <c r="B515" s="19"/>
      <c r="C515" s="20"/>
      <c r="D515" s="21"/>
      <c r="E515" s="21"/>
      <c r="F515" s="21"/>
      <c r="G515" s="20"/>
      <c r="H515" s="21"/>
      <c r="I515" s="20"/>
      <c r="J515" s="20"/>
      <c r="K515" s="21"/>
      <c r="L515" s="21"/>
      <c r="M515" s="22" t="str">
        <f aca="false">IF($B515="","",$B515+2)</f>
        <v/>
      </c>
      <c r="N515" s="20"/>
      <c r="O515" s="22" t="str">
        <f aca="false">IF($B515="","",$B515+5)</f>
        <v/>
      </c>
      <c r="P515" s="20"/>
      <c r="Q515" s="22" t="str">
        <f aca="false">IF($B515="","",$B515+10)</f>
        <v/>
      </c>
      <c r="R515" s="20"/>
      <c r="S515" s="23" t="str">
        <f aca="true">IF($B515="","",IF(AND($N515="Y",$P515="Y",$R515="Y"),"Done",IF(OR(AND($M515&lt;=TODAY(),$N515&lt;&gt;"Y"),AND($O515&lt;=TODAY(),$P515&lt;&gt;"Y"),AND($Q515&lt;=TODAY(),$R515&lt;&gt;"Y")),"DUE","Scheduled")))</f>
        <v/>
      </c>
      <c r="T515" s="20"/>
      <c r="U515" s="23" t="str">
        <f aca="false">IF($B515="","",IF(OR($T515&lt;=2,$I515="Editorial"),"REDO",""))</f>
        <v/>
      </c>
      <c r="V515" s="18" t="str">
        <f aca="false">IF($S515&lt;&gt;"DUE","",COUNTIF($S$3:$S515,"DUE"))</f>
        <v/>
      </c>
    </row>
    <row r="516" customFormat="false" ht="15" hidden="false" customHeight="false" outlineLevel="0" collapsed="false">
      <c r="A516" s="12" t="str">
        <f aca="false">IF($F516="","",ROW()-2)</f>
        <v/>
      </c>
      <c r="B516" s="19"/>
      <c r="C516" s="20"/>
      <c r="D516" s="21"/>
      <c r="E516" s="21"/>
      <c r="F516" s="21"/>
      <c r="G516" s="20"/>
      <c r="H516" s="21"/>
      <c r="I516" s="20"/>
      <c r="J516" s="20"/>
      <c r="K516" s="21"/>
      <c r="L516" s="21"/>
      <c r="M516" s="22" t="str">
        <f aca="false">IF($B516="","",$B516+2)</f>
        <v/>
      </c>
      <c r="N516" s="20"/>
      <c r="O516" s="22" t="str">
        <f aca="false">IF($B516="","",$B516+5)</f>
        <v/>
      </c>
      <c r="P516" s="20"/>
      <c r="Q516" s="22" t="str">
        <f aca="false">IF($B516="","",$B516+10)</f>
        <v/>
      </c>
      <c r="R516" s="20"/>
      <c r="S516" s="23" t="str">
        <f aca="true">IF($B516="","",IF(AND($N516="Y",$P516="Y",$R516="Y"),"Done",IF(OR(AND($M516&lt;=TODAY(),$N516&lt;&gt;"Y"),AND($O516&lt;=TODAY(),$P516&lt;&gt;"Y"),AND($Q516&lt;=TODAY(),$R516&lt;&gt;"Y")),"DUE","Scheduled")))</f>
        <v/>
      </c>
      <c r="T516" s="20"/>
      <c r="U516" s="23" t="str">
        <f aca="false">IF($B516="","",IF(OR($T516&lt;=2,$I516="Editorial"),"REDO",""))</f>
        <v/>
      </c>
      <c r="V516" s="18" t="str">
        <f aca="false">IF($S516&lt;&gt;"DUE","",COUNTIF($S$3:$S516,"DUE"))</f>
        <v/>
      </c>
    </row>
    <row r="517" customFormat="false" ht="15" hidden="false" customHeight="false" outlineLevel="0" collapsed="false">
      <c r="A517" s="12" t="str">
        <f aca="false">IF($F517="","",ROW()-2)</f>
        <v/>
      </c>
      <c r="B517" s="19"/>
      <c r="C517" s="20"/>
      <c r="D517" s="21"/>
      <c r="E517" s="21"/>
      <c r="F517" s="21"/>
      <c r="G517" s="20"/>
      <c r="H517" s="21"/>
      <c r="I517" s="20"/>
      <c r="J517" s="20"/>
      <c r="K517" s="21"/>
      <c r="L517" s="21"/>
      <c r="M517" s="22" t="str">
        <f aca="false">IF($B517="","",$B517+2)</f>
        <v/>
      </c>
      <c r="N517" s="20"/>
      <c r="O517" s="22" t="str">
        <f aca="false">IF($B517="","",$B517+5)</f>
        <v/>
      </c>
      <c r="P517" s="20"/>
      <c r="Q517" s="22" t="str">
        <f aca="false">IF($B517="","",$B517+10)</f>
        <v/>
      </c>
      <c r="R517" s="20"/>
      <c r="S517" s="23" t="str">
        <f aca="true">IF($B517="","",IF(AND($N517="Y",$P517="Y",$R517="Y"),"Done",IF(OR(AND($M517&lt;=TODAY(),$N517&lt;&gt;"Y"),AND($O517&lt;=TODAY(),$P517&lt;&gt;"Y"),AND($Q517&lt;=TODAY(),$R517&lt;&gt;"Y")),"DUE","Scheduled")))</f>
        <v/>
      </c>
      <c r="T517" s="20"/>
      <c r="U517" s="23" t="str">
        <f aca="false">IF($B517="","",IF(OR($T517&lt;=2,$I517="Editorial"),"REDO",""))</f>
        <v/>
      </c>
      <c r="V517" s="18" t="str">
        <f aca="false">IF($S517&lt;&gt;"DUE","",COUNTIF($S$3:$S517,"DUE"))</f>
        <v/>
      </c>
    </row>
    <row r="518" customFormat="false" ht="15" hidden="false" customHeight="false" outlineLevel="0" collapsed="false">
      <c r="A518" s="12" t="str">
        <f aca="false">IF($F518="","",ROW()-2)</f>
        <v/>
      </c>
      <c r="B518" s="19"/>
      <c r="C518" s="20"/>
      <c r="D518" s="21"/>
      <c r="E518" s="21"/>
      <c r="F518" s="21"/>
      <c r="G518" s="20"/>
      <c r="H518" s="21"/>
      <c r="I518" s="20"/>
      <c r="J518" s="20"/>
      <c r="K518" s="21"/>
      <c r="L518" s="21"/>
      <c r="M518" s="22" t="str">
        <f aca="false">IF($B518="","",$B518+2)</f>
        <v/>
      </c>
      <c r="N518" s="20"/>
      <c r="O518" s="22" t="str">
        <f aca="false">IF($B518="","",$B518+5)</f>
        <v/>
      </c>
      <c r="P518" s="20"/>
      <c r="Q518" s="22" t="str">
        <f aca="false">IF($B518="","",$B518+10)</f>
        <v/>
      </c>
      <c r="R518" s="20"/>
      <c r="S518" s="23" t="str">
        <f aca="true">IF($B518="","",IF(AND($N518="Y",$P518="Y",$R518="Y"),"Done",IF(OR(AND($M518&lt;=TODAY(),$N518&lt;&gt;"Y"),AND($O518&lt;=TODAY(),$P518&lt;&gt;"Y"),AND($Q518&lt;=TODAY(),$R518&lt;&gt;"Y")),"DUE","Scheduled")))</f>
        <v/>
      </c>
      <c r="T518" s="20"/>
      <c r="U518" s="23" t="str">
        <f aca="false">IF($B518="","",IF(OR($T518&lt;=2,$I518="Editorial"),"REDO",""))</f>
        <v/>
      </c>
      <c r="V518" s="18" t="str">
        <f aca="false">IF($S518&lt;&gt;"DUE","",COUNTIF($S$3:$S518,"DUE"))</f>
        <v/>
      </c>
    </row>
    <row r="519" customFormat="false" ht="15" hidden="false" customHeight="false" outlineLevel="0" collapsed="false">
      <c r="A519" s="12" t="str">
        <f aca="false">IF($F519="","",ROW()-2)</f>
        <v/>
      </c>
      <c r="B519" s="19"/>
      <c r="C519" s="20"/>
      <c r="D519" s="21"/>
      <c r="E519" s="21"/>
      <c r="F519" s="21"/>
      <c r="G519" s="20"/>
      <c r="H519" s="21"/>
      <c r="I519" s="20"/>
      <c r="J519" s="20"/>
      <c r="K519" s="21"/>
      <c r="L519" s="21"/>
      <c r="M519" s="22" t="str">
        <f aca="false">IF($B519="","",$B519+2)</f>
        <v/>
      </c>
      <c r="N519" s="20"/>
      <c r="O519" s="22" t="str">
        <f aca="false">IF($B519="","",$B519+5)</f>
        <v/>
      </c>
      <c r="P519" s="20"/>
      <c r="Q519" s="22" t="str">
        <f aca="false">IF($B519="","",$B519+10)</f>
        <v/>
      </c>
      <c r="R519" s="20"/>
      <c r="S519" s="23" t="str">
        <f aca="true">IF($B519="","",IF(AND($N519="Y",$P519="Y",$R519="Y"),"Done",IF(OR(AND($M519&lt;=TODAY(),$N519&lt;&gt;"Y"),AND($O519&lt;=TODAY(),$P519&lt;&gt;"Y"),AND($Q519&lt;=TODAY(),$R519&lt;&gt;"Y")),"DUE","Scheduled")))</f>
        <v/>
      </c>
      <c r="T519" s="20"/>
      <c r="U519" s="23" t="str">
        <f aca="false">IF($B519="","",IF(OR($T519&lt;=2,$I519="Editorial"),"REDO",""))</f>
        <v/>
      </c>
      <c r="V519" s="18" t="str">
        <f aca="false">IF($S519&lt;&gt;"DUE","",COUNTIF($S$3:$S519,"DUE"))</f>
        <v/>
      </c>
    </row>
    <row r="520" customFormat="false" ht="15" hidden="false" customHeight="false" outlineLevel="0" collapsed="false">
      <c r="A520" s="12" t="str">
        <f aca="false">IF($F520="","",ROW()-2)</f>
        <v/>
      </c>
      <c r="B520" s="19"/>
      <c r="C520" s="20"/>
      <c r="D520" s="21"/>
      <c r="E520" s="21"/>
      <c r="F520" s="21"/>
      <c r="G520" s="20"/>
      <c r="H520" s="21"/>
      <c r="I520" s="20"/>
      <c r="J520" s="20"/>
      <c r="K520" s="21"/>
      <c r="L520" s="21"/>
      <c r="M520" s="22" t="str">
        <f aca="false">IF($B520="","",$B520+2)</f>
        <v/>
      </c>
      <c r="N520" s="20"/>
      <c r="O520" s="22" t="str">
        <f aca="false">IF($B520="","",$B520+5)</f>
        <v/>
      </c>
      <c r="P520" s="20"/>
      <c r="Q520" s="22" t="str">
        <f aca="false">IF($B520="","",$B520+10)</f>
        <v/>
      </c>
      <c r="R520" s="20"/>
      <c r="S520" s="23" t="str">
        <f aca="true">IF($B520="","",IF(AND($N520="Y",$P520="Y",$R520="Y"),"Done",IF(OR(AND($M520&lt;=TODAY(),$N520&lt;&gt;"Y"),AND($O520&lt;=TODAY(),$P520&lt;&gt;"Y"),AND($Q520&lt;=TODAY(),$R520&lt;&gt;"Y")),"DUE","Scheduled")))</f>
        <v/>
      </c>
      <c r="T520" s="20"/>
      <c r="U520" s="23" t="str">
        <f aca="false">IF($B520="","",IF(OR($T520&lt;=2,$I520="Editorial"),"REDO",""))</f>
        <v/>
      </c>
      <c r="V520" s="18" t="str">
        <f aca="false">IF($S520&lt;&gt;"DUE","",COUNTIF($S$3:$S520,"DUE"))</f>
        <v/>
      </c>
    </row>
    <row r="521" customFormat="false" ht="15" hidden="false" customHeight="false" outlineLevel="0" collapsed="false">
      <c r="A521" s="12" t="str">
        <f aca="false">IF($F521="","",ROW()-2)</f>
        <v/>
      </c>
      <c r="B521" s="19"/>
      <c r="C521" s="20"/>
      <c r="D521" s="21"/>
      <c r="E521" s="21"/>
      <c r="F521" s="21"/>
      <c r="G521" s="20"/>
      <c r="H521" s="21"/>
      <c r="I521" s="20"/>
      <c r="J521" s="20"/>
      <c r="K521" s="21"/>
      <c r="L521" s="21"/>
      <c r="M521" s="22" t="str">
        <f aca="false">IF($B521="","",$B521+2)</f>
        <v/>
      </c>
      <c r="N521" s="20"/>
      <c r="O521" s="22" t="str">
        <f aca="false">IF($B521="","",$B521+5)</f>
        <v/>
      </c>
      <c r="P521" s="20"/>
      <c r="Q521" s="22" t="str">
        <f aca="false">IF($B521="","",$B521+10)</f>
        <v/>
      </c>
      <c r="R521" s="20"/>
      <c r="S521" s="23" t="str">
        <f aca="true">IF($B521="","",IF(AND($N521="Y",$P521="Y",$R521="Y"),"Done",IF(OR(AND($M521&lt;=TODAY(),$N521&lt;&gt;"Y"),AND($O521&lt;=TODAY(),$P521&lt;&gt;"Y"),AND($Q521&lt;=TODAY(),$R521&lt;&gt;"Y")),"DUE","Scheduled")))</f>
        <v/>
      </c>
      <c r="T521" s="20"/>
      <c r="U521" s="23" t="str">
        <f aca="false">IF($B521="","",IF(OR($T521&lt;=2,$I521="Editorial"),"REDO",""))</f>
        <v/>
      </c>
      <c r="V521" s="18" t="str">
        <f aca="false">IF($S521&lt;&gt;"DUE","",COUNTIF($S$3:$S521,"DUE"))</f>
        <v/>
      </c>
    </row>
    <row r="522" customFormat="false" ht="15" hidden="false" customHeight="false" outlineLevel="0" collapsed="false">
      <c r="A522" s="12" t="str">
        <f aca="false">IF($F522="","",ROW()-2)</f>
        <v/>
      </c>
      <c r="B522" s="19"/>
      <c r="C522" s="20"/>
      <c r="D522" s="21"/>
      <c r="E522" s="21"/>
      <c r="F522" s="21"/>
      <c r="G522" s="20"/>
      <c r="H522" s="21"/>
      <c r="I522" s="20"/>
      <c r="J522" s="20"/>
      <c r="K522" s="21"/>
      <c r="L522" s="21"/>
      <c r="M522" s="22" t="str">
        <f aca="false">IF($B522="","",$B522+2)</f>
        <v/>
      </c>
      <c r="N522" s="20"/>
      <c r="O522" s="22" t="str">
        <f aca="false">IF($B522="","",$B522+5)</f>
        <v/>
      </c>
      <c r="P522" s="20"/>
      <c r="Q522" s="22" t="str">
        <f aca="false">IF($B522="","",$B522+10)</f>
        <v/>
      </c>
      <c r="R522" s="20"/>
      <c r="S522" s="23" t="str">
        <f aca="true">IF($B522="","",IF(AND($N522="Y",$P522="Y",$R522="Y"),"Done",IF(OR(AND($M522&lt;=TODAY(),$N522&lt;&gt;"Y"),AND($O522&lt;=TODAY(),$P522&lt;&gt;"Y"),AND($Q522&lt;=TODAY(),$R522&lt;&gt;"Y")),"DUE","Scheduled")))</f>
        <v/>
      </c>
      <c r="T522" s="20"/>
      <c r="U522" s="23" t="str">
        <f aca="false">IF($B522="","",IF(OR($T522&lt;=2,$I522="Editorial"),"REDO",""))</f>
        <v/>
      </c>
      <c r="V522" s="18" t="str">
        <f aca="false">IF($S522&lt;&gt;"DUE","",COUNTIF($S$3:$S522,"DUE"))</f>
        <v/>
      </c>
    </row>
    <row r="523" customFormat="false" ht="15" hidden="false" customHeight="false" outlineLevel="0" collapsed="false">
      <c r="A523" s="12" t="str">
        <f aca="false">IF($F523="","",ROW()-2)</f>
        <v/>
      </c>
      <c r="B523" s="19"/>
      <c r="C523" s="20"/>
      <c r="D523" s="21"/>
      <c r="E523" s="21"/>
      <c r="F523" s="21"/>
      <c r="G523" s="20"/>
      <c r="H523" s="21"/>
      <c r="I523" s="20"/>
      <c r="J523" s="20"/>
      <c r="K523" s="21"/>
      <c r="L523" s="21"/>
      <c r="M523" s="22" t="str">
        <f aca="false">IF($B523="","",$B523+2)</f>
        <v/>
      </c>
      <c r="N523" s="20"/>
      <c r="O523" s="22" t="str">
        <f aca="false">IF($B523="","",$B523+5)</f>
        <v/>
      </c>
      <c r="P523" s="20"/>
      <c r="Q523" s="22" t="str">
        <f aca="false">IF($B523="","",$B523+10)</f>
        <v/>
      </c>
      <c r="R523" s="20"/>
      <c r="S523" s="23" t="str">
        <f aca="true">IF($B523="","",IF(AND($N523="Y",$P523="Y",$R523="Y"),"Done",IF(OR(AND($M523&lt;=TODAY(),$N523&lt;&gt;"Y"),AND($O523&lt;=TODAY(),$P523&lt;&gt;"Y"),AND($Q523&lt;=TODAY(),$R523&lt;&gt;"Y")),"DUE","Scheduled")))</f>
        <v/>
      </c>
      <c r="T523" s="20"/>
      <c r="U523" s="23" t="str">
        <f aca="false">IF($B523="","",IF(OR($T523&lt;=2,$I523="Editorial"),"REDO",""))</f>
        <v/>
      </c>
      <c r="V523" s="18" t="str">
        <f aca="false">IF($S523&lt;&gt;"DUE","",COUNTIF($S$3:$S523,"DUE"))</f>
        <v/>
      </c>
    </row>
    <row r="524" customFormat="false" ht="15" hidden="false" customHeight="false" outlineLevel="0" collapsed="false">
      <c r="A524" s="12" t="str">
        <f aca="false">IF($F524="","",ROW()-2)</f>
        <v/>
      </c>
      <c r="B524" s="19"/>
      <c r="C524" s="20"/>
      <c r="D524" s="21"/>
      <c r="E524" s="21"/>
      <c r="F524" s="21"/>
      <c r="G524" s="20"/>
      <c r="H524" s="21"/>
      <c r="I524" s="20"/>
      <c r="J524" s="20"/>
      <c r="K524" s="21"/>
      <c r="L524" s="21"/>
      <c r="M524" s="22" t="str">
        <f aca="false">IF($B524="","",$B524+2)</f>
        <v/>
      </c>
      <c r="N524" s="20"/>
      <c r="O524" s="22" t="str">
        <f aca="false">IF($B524="","",$B524+5)</f>
        <v/>
      </c>
      <c r="P524" s="20"/>
      <c r="Q524" s="22" t="str">
        <f aca="false">IF($B524="","",$B524+10)</f>
        <v/>
      </c>
      <c r="R524" s="20"/>
      <c r="S524" s="23" t="str">
        <f aca="true">IF($B524="","",IF(AND($N524="Y",$P524="Y",$R524="Y"),"Done",IF(OR(AND($M524&lt;=TODAY(),$N524&lt;&gt;"Y"),AND($O524&lt;=TODAY(),$P524&lt;&gt;"Y"),AND($Q524&lt;=TODAY(),$R524&lt;&gt;"Y")),"DUE","Scheduled")))</f>
        <v/>
      </c>
      <c r="T524" s="20"/>
      <c r="U524" s="23" t="str">
        <f aca="false">IF($B524="","",IF(OR($T524&lt;=2,$I524="Editorial"),"REDO",""))</f>
        <v/>
      </c>
      <c r="V524" s="18" t="str">
        <f aca="false">IF($S524&lt;&gt;"DUE","",COUNTIF($S$3:$S524,"DUE"))</f>
        <v/>
      </c>
    </row>
    <row r="525" customFormat="false" ht="15" hidden="false" customHeight="false" outlineLevel="0" collapsed="false">
      <c r="A525" s="12" t="str">
        <f aca="false">IF($F525="","",ROW()-2)</f>
        <v/>
      </c>
      <c r="B525" s="19"/>
      <c r="C525" s="20"/>
      <c r="D525" s="21"/>
      <c r="E525" s="21"/>
      <c r="F525" s="21"/>
      <c r="G525" s="20"/>
      <c r="H525" s="21"/>
      <c r="I525" s="20"/>
      <c r="J525" s="20"/>
      <c r="K525" s="21"/>
      <c r="L525" s="21"/>
      <c r="M525" s="22" t="str">
        <f aca="false">IF($B525="","",$B525+2)</f>
        <v/>
      </c>
      <c r="N525" s="20"/>
      <c r="O525" s="22" t="str">
        <f aca="false">IF($B525="","",$B525+5)</f>
        <v/>
      </c>
      <c r="P525" s="20"/>
      <c r="Q525" s="22" t="str">
        <f aca="false">IF($B525="","",$B525+10)</f>
        <v/>
      </c>
      <c r="R525" s="20"/>
      <c r="S525" s="23" t="str">
        <f aca="true">IF($B525="","",IF(AND($N525="Y",$P525="Y",$R525="Y"),"Done",IF(OR(AND($M525&lt;=TODAY(),$N525&lt;&gt;"Y"),AND($O525&lt;=TODAY(),$P525&lt;&gt;"Y"),AND($Q525&lt;=TODAY(),$R525&lt;&gt;"Y")),"DUE","Scheduled")))</f>
        <v/>
      </c>
      <c r="T525" s="20"/>
      <c r="U525" s="23" t="str">
        <f aca="false">IF($B525="","",IF(OR($T525&lt;=2,$I525="Editorial"),"REDO",""))</f>
        <v/>
      </c>
      <c r="V525" s="18" t="str">
        <f aca="false">IF($S525&lt;&gt;"DUE","",COUNTIF($S$3:$S525,"DUE"))</f>
        <v/>
      </c>
    </row>
    <row r="526" customFormat="false" ht="15" hidden="false" customHeight="false" outlineLevel="0" collapsed="false">
      <c r="A526" s="12" t="str">
        <f aca="false">IF($F526="","",ROW()-2)</f>
        <v/>
      </c>
      <c r="B526" s="19"/>
      <c r="C526" s="20"/>
      <c r="D526" s="21"/>
      <c r="E526" s="21"/>
      <c r="F526" s="21"/>
      <c r="G526" s="20"/>
      <c r="H526" s="21"/>
      <c r="I526" s="20"/>
      <c r="J526" s="20"/>
      <c r="K526" s="21"/>
      <c r="L526" s="21"/>
      <c r="M526" s="22" t="str">
        <f aca="false">IF($B526="","",$B526+2)</f>
        <v/>
      </c>
      <c r="N526" s="20"/>
      <c r="O526" s="22" t="str">
        <f aca="false">IF($B526="","",$B526+5)</f>
        <v/>
      </c>
      <c r="P526" s="20"/>
      <c r="Q526" s="22" t="str">
        <f aca="false">IF($B526="","",$B526+10)</f>
        <v/>
      </c>
      <c r="R526" s="20"/>
      <c r="S526" s="23" t="str">
        <f aca="true">IF($B526="","",IF(AND($N526="Y",$P526="Y",$R526="Y"),"Done",IF(OR(AND($M526&lt;=TODAY(),$N526&lt;&gt;"Y"),AND($O526&lt;=TODAY(),$P526&lt;&gt;"Y"),AND($Q526&lt;=TODAY(),$R526&lt;&gt;"Y")),"DUE","Scheduled")))</f>
        <v/>
      </c>
      <c r="T526" s="20"/>
      <c r="U526" s="23" t="str">
        <f aca="false">IF($B526="","",IF(OR($T526&lt;=2,$I526="Editorial"),"REDO",""))</f>
        <v/>
      </c>
      <c r="V526" s="18" t="str">
        <f aca="false">IF($S526&lt;&gt;"DUE","",COUNTIF($S$3:$S526,"DUE"))</f>
        <v/>
      </c>
    </row>
    <row r="527" customFormat="false" ht="15" hidden="false" customHeight="false" outlineLevel="0" collapsed="false">
      <c r="A527" s="12" t="str">
        <f aca="false">IF($F527="","",ROW()-2)</f>
        <v/>
      </c>
      <c r="B527" s="19"/>
      <c r="C527" s="20"/>
      <c r="D527" s="21"/>
      <c r="E527" s="21"/>
      <c r="F527" s="21"/>
      <c r="G527" s="20"/>
      <c r="H527" s="21"/>
      <c r="I527" s="20"/>
      <c r="J527" s="20"/>
      <c r="K527" s="21"/>
      <c r="L527" s="21"/>
      <c r="M527" s="22" t="str">
        <f aca="false">IF($B527="","",$B527+2)</f>
        <v/>
      </c>
      <c r="N527" s="20"/>
      <c r="O527" s="22" t="str">
        <f aca="false">IF($B527="","",$B527+5)</f>
        <v/>
      </c>
      <c r="P527" s="20"/>
      <c r="Q527" s="22" t="str">
        <f aca="false">IF($B527="","",$B527+10)</f>
        <v/>
      </c>
      <c r="R527" s="20"/>
      <c r="S527" s="23" t="str">
        <f aca="true">IF($B527="","",IF(AND($N527="Y",$P527="Y",$R527="Y"),"Done",IF(OR(AND($M527&lt;=TODAY(),$N527&lt;&gt;"Y"),AND($O527&lt;=TODAY(),$P527&lt;&gt;"Y"),AND($Q527&lt;=TODAY(),$R527&lt;&gt;"Y")),"DUE","Scheduled")))</f>
        <v/>
      </c>
      <c r="T527" s="20"/>
      <c r="U527" s="23" t="str">
        <f aca="false">IF($B527="","",IF(OR($T527&lt;=2,$I527="Editorial"),"REDO",""))</f>
        <v/>
      </c>
      <c r="V527" s="18" t="str">
        <f aca="false">IF($S527&lt;&gt;"DUE","",COUNTIF($S$3:$S527,"DUE"))</f>
        <v/>
      </c>
    </row>
    <row r="528" customFormat="false" ht="15" hidden="false" customHeight="false" outlineLevel="0" collapsed="false">
      <c r="A528" s="12" t="str">
        <f aca="false">IF($F528="","",ROW()-2)</f>
        <v/>
      </c>
      <c r="B528" s="19"/>
      <c r="C528" s="20"/>
      <c r="D528" s="21"/>
      <c r="E528" s="21"/>
      <c r="F528" s="21"/>
      <c r="G528" s="20"/>
      <c r="H528" s="21"/>
      <c r="I528" s="20"/>
      <c r="J528" s="20"/>
      <c r="K528" s="21"/>
      <c r="L528" s="21"/>
      <c r="M528" s="22" t="str">
        <f aca="false">IF($B528="","",$B528+2)</f>
        <v/>
      </c>
      <c r="N528" s="20"/>
      <c r="O528" s="22" t="str">
        <f aca="false">IF($B528="","",$B528+5)</f>
        <v/>
      </c>
      <c r="P528" s="20"/>
      <c r="Q528" s="22" t="str">
        <f aca="false">IF($B528="","",$B528+10)</f>
        <v/>
      </c>
      <c r="R528" s="20"/>
      <c r="S528" s="23" t="str">
        <f aca="true">IF($B528="","",IF(AND($N528="Y",$P528="Y",$R528="Y"),"Done",IF(OR(AND($M528&lt;=TODAY(),$N528&lt;&gt;"Y"),AND($O528&lt;=TODAY(),$P528&lt;&gt;"Y"),AND($Q528&lt;=TODAY(),$R528&lt;&gt;"Y")),"DUE","Scheduled")))</f>
        <v/>
      </c>
      <c r="T528" s="20"/>
      <c r="U528" s="23" t="str">
        <f aca="false">IF($B528="","",IF(OR($T528&lt;=2,$I528="Editorial"),"REDO",""))</f>
        <v/>
      </c>
      <c r="V528" s="18" t="str">
        <f aca="false">IF($S528&lt;&gt;"DUE","",COUNTIF($S$3:$S528,"DUE"))</f>
        <v/>
      </c>
    </row>
    <row r="529" customFormat="false" ht="15" hidden="false" customHeight="false" outlineLevel="0" collapsed="false">
      <c r="A529" s="12" t="str">
        <f aca="false">IF($F529="","",ROW()-2)</f>
        <v/>
      </c>
      <c r="B529" s="19"/>
      <c r="C529" s="20"/>
      <c r="D529" s="21"/>
      <c r="E529" s="21"/>
      <c r="F529" s="21"/>
      <c r="G529" s="20"/>
      <c r="H529" s="21"/>
      <c r="I529" s="20"/>
      <c r="J529" s="20"/>
      <c r="K529" s="21"/>
      <c r="L529" s="21"/>
      <c r="M529" s="22" t="str">
        <f aca="false">IF($B529="","",$B529+2)</f>
        <v/>
      </c>
      <c r="N529" s="20"/>
      <c r="O529" s="22" t="str">
        <f aca="false">IF($B529="","",$B529+5)</f>
        <v/>
      </c>
      <c r="P529" s="20"/>
      <c r="Q529" s="22" t="str">
        <f aca="false">IF($B529="","",$B529+10)</f>
        <v/>
      </c>
      <c r="R529" s="20"/>
      <c r="S529" s="23" t="str">
        <f aca="true">IF($B529="","",IF(AND($N529="Y",$P529="Y",$R529="Y"),"Done",IF(OR(AND($M529&lt;=TODAY(),$N529&lt;&gt;"Y"),AND($O529&lt;=TODAY(),$P529&lt;&gt;"Y"),AND($Q529&lt;=TODAY(),$R529&lt;&gt;"Y")),"DUE","Scheduled")))</f>
        <v/>
      </c>
      <c r="T529" s="20"/>
      <c r="U529" s="23" t="str">
        <f aca="false">IF($B529="","",IF(OR($T529&lt;=2,$I529="Editorial"),"REDO",""))</f>
        <v/>
      </c>
      <c r="V529" s="18" t="str">
        <f aca="false">IF($S529&lt;&gt;"DUE","",COUNTIF($S$3:$S529,"DUE"))</f>
        <v/>
      </c>
    </row>
    <row r="530" customFormat="false" ht="15" hidden="false" customHeight="false" outlineLevel="0" collapsed="false">
      <c r="A530" s="12" t="str">
        <f aca="false">IF($F530="","",ROW()-2)</f>
        <v/>
      </c>
      <c r="B530" s="19"/>
      <c r="C530" s="20"/>
      <c r="D530" s="21"/>
      <c r="E530" s="21"/>
      <c r="F530" s="21"/>
      <c r="G530" s="20"/>
      <c r="H530" s="21"/>
      <c r="I530" s="20"/>
      <c r="J530" s="20"/>
      <c r="K530" s="21"/>
      <c r="L530" s="21"/>
      <c r="M530" s="22" t="str">
        <f aca="false">IF($B530="","",$B530+2)</f>
        <v/>
      </c>
      <c r="N530" s="20"/>
      <c r="O530" s="22" t="str">
        <f aca="false">IF($B530="","",$B530+5)</f>
        <v/>
      </c>
      <c r="P530" s="20"/>
      <c r="Q530" s="22" t="str">
        <f aca="false">IF($B530="","",$B530+10)</f>
        <v/>
      </c>
      <c r="R530" s="20"/>
      <c r="S530" s="23" t="str">
        <f aca="true">IF($B530="","",IF(AND($N530="Y",$P530="Y",$R530="Y"),"Done",IF(OR(AND($M530&lt;=TODAY(),$N530&lt;&gt;"Y"),AND($O530&lt;=TODAY(),$P530&lt;&gt;"Y"),AND($Q530&lt;=TODAY(),$R530&lt;&gt;"Y")),"DUE","Scheduled")))</f>
        <v/>
      </c>
      <c r="T530" s="20"/>
      <c r="U530" s="23" t="str">
        <f aca="false">IF($B530="","",IF(OR($T530&lt;=2,$I530="Editorial"),"REDO",""))</f>
        <v/>
      </c>
      <c r="V530" s="18" t="str">
        <f aca="false">IF($S530&lt;&gt;"DUE","",COUNTIF($S$3:$S530,"DUE"))</f>
        <v/>
      </c>
    </row>
    <row r="531" customFormat="false" ht="15" hidden="false" customHeight="false" outlineLevel="0" collapsed="false">
      <c r="A531" s="12" t="str">
        <f aca="false">IF($F531="","",ROW()-2)</f>
        <v/>
      </c>
      <c r="B531" s="19"/>
      <c r="C531" s="20"/>
      <c r="D531" s="21"/>
      <c r="E531" s="21"/>
      <c r="F531" s="21"/>
      <c r="G531" s="20"/>
      <c r="H531" s="21"/>
      <c r="I531" s="20"/>
      <c r="J531" s="20"/>
      <c r="K531" s="21"/>
      <c r="L531" s="21"/>
      <c r="M531" s="22" t="str">
        <f aca="false">IF($B531="","",$B531+2)</f>
        <v/>
      </c>
      <c r="N531" s="20"/>
      <c r="O531" s="22" t="str">
        <f aca="false">IF($B531="","",$B531+5)</f>
        <v/>
      </c>
      <c r="P531" s="20"/>
      <c r="Q531" s="22" t="str">
        <f aca="false">IF($B531="","",$B531+10)</f>
        <v/>
      </c>
      <c r="R531" s="20"/>
      <c r="S531" s="23" t="str">
        <f aca="true">IF($B531="","",IF(AND($N531="Y",$P531="Y",$R531="Y"),"Done",IF(OR(AND($M531&lt;=TODAY(),$N531&lt;&gt;"Y"),AND($O531&lt;=TODAY(),$P531&lt;&gt;"Y"),AND($Q531&lt;=TODAY(),$R531&lt;&gt;"Y")),"DUE","Scheduled")))</f>
        <v/>
      </c>
      <c r="T531" s="20"/>
      <c r="U531" s="23" t="str">
        <f aca="false">IF($B531="","",IF(OR($T531&lt;=2,$I531="Editorial"),"REDO",""))</f>
        <v/>
      </c>
      <c r="V531" s="18" t="str">
        <f aca="false">IF($S531&lt;&gt;"DUE","",COUNTIF($S$3:$S531,"DUE"))</f>
        <v/>
      </c>
    </row>
    <row r="532" customFormat="false" ht="15" hidden="false" customHeight="false" outlineLevel="0" collapsed="false">
      <c r="A532" s="12" t="str">
        <f aca="false">IF($F532="","",ROW()-2)</f>
        <v/>
      </c>
      <c r="B532" s="19"/>
      <c r="C532" s="20"/>
      <c r="D532" s="21"/>
      <c r="E532" s="21"/>
      <c r="F532" s="21"/>
      <c r="G532" s="20"/>
      <c r="H532" s="21"/>
      <c r="I532" s="20"/>
      <c r="J532" s="20"/>
      <c r="K532" s="21"/>
      <c r="L532" s="21"/>
      <c r="M532" s="22" t="str">
        <f aca="false">IF($B532="","",$B532+2)</f>
        <v/>
      </c>
      <c r="N532" s="20"/>
      <c r="O532" s="22" t="str">
        <f aca="false">IF($B532="","",$B532+5)</f>
        <v/>
      </c>
      <c r="P532" s="20"/>
      <c r="Q532" s="22" t="str">
        <f aca="false">IF($B532="","",$B532+10)</f>
        <v/>
      </c>
      <c r="R532" s="20"/>
      <c r="S532" s="23" t="str">
        <f aca="true">IF($B532="","",IF(AND($N532="Y",$P532="Y",$R532="Y"),"Done",IF(OR(AND($M532&lt;=TODAY(),$N532&lt;&gt;"Y"),AND($O532&lt;=TODAY(),$P532&lt;&gt;"Y"),AND($Q532&lt;=TODAY(),$R532&lt;&gt;"Y")),"DUE","Scheduled")))</f>
        <v/>
      </c>
      <c r="T532" s="20"/>
      <c r="U532" s="23" t="str">
        <f aca="false">IF($B532="","",IF(OR($T532&lt;=2,$I532="Editorial"),"REDO",""))</f>
        <v/>
      </c>
      <c r="V532" s="18" t="str">
        <f aca="false">IF($S532&lt;&gt;"DUE","",COUNTIF($S$3:$S532,"DUE"))</f>
        <v/>
      </c>
    </row>
    <row r="533" customFormat="false" ht="15" hidden="false" customHeight="false" outlineLevel="0" collapsed="false">
      <c r="A533" s="12" t="str">
        <f aca="false">IF($F533="","",ROW()-2)</f>
        <v/>
      </c>
      <c r="B533" s="19"/>
      <c r="C533" s="20"/>
      <c r="D533" s="21"/>
      <c r="E533" s="21"/>
      <c r="F533" s="21"/>
      <c r="G533" s="20"/>
      <c r="H533" s="21"/>
      <c r="I533" s="20"/>
      <c r="J533" s="20"/>
      <c r="K533" s="21"/>
      <c r="L533" s="21"/>
      <c r="M533" s="22" t="str">
        <f aca="false">IF($B533="","",$B533+2)</f>
        <v/>
      </c>
      <c r="N533" s="20"/>
      <c r="O533" s="22" t="str">
        <f aca="false">IF($B533="","",$B533+5)</f>
        <v/>
      </c>
      <c r="P533" s="20"/>
      <c r="Q533" s="22" t="str">
        <f aca="false">IF($B533="","",$B533+10)</f>
        <v/>
      </c>
      <c r="R533" s="20"/>
      <c r="S533" s="23" t="str">
        <f aca="true">IF($B533="","",IF(AND($N533="Y",$P533="Y",$R533="Y"),"Done",IF(OR(AND($M533&lt;=TODAY(),$N533&lt;&gt;"Y"),AND($O533&lt;=TODAY(),$P533&lt;&gt;"Y"),AND($Q533&lt;=TODAY(),$R533&lt;&gt;"Y")),"DUE","Scheduled")))</f>
        <v/>
      </c>
      <c r="T533" s="20"/>
      <c r="U533" s="23" t="str">
        <f aca="false">IF($B533="","",IF(OR($T533&lt;=2,$I533="Editorial"),"REDO",""))</f>
        <v/>
      </c>
      <c r="V533" s="18" t="str">
        <f aca="false">IF($S533&lt;&gt;"DUE","",COUNTIF($S$3:$S533,"DUE"))</f>
        <v/>
      </c>
    </row>
    <row r="534" customFormat="false" ht="15" hidden="false" customHeight="false" outlineLevel="0" collapsed="false">
      <c r="A534" s="12" t="str">
        <f aca="false">IF($F534="","",ROW()-2)</f>
        <v/>
      </c>
      <c r="B534" s="19"/>
      <c r="C534" s="20"/>
      <c r="D534" s="21"/>
      <c r="E534" s="21"/>
      <c r="F534" s="21"/>
      <c r="G534" s="20"/>
      <c r="H534" s="21"/>
      <c r="I534" s="20"/>
      <c r="J534" s="20"/>
      <c r="K534" s="21"/>
      <c r="L534" s="21"/>
      <c r="M534" s="22" t="str">
        <f aca="false">IF($B534="","",$B534+2)</f>
        <v/>
      </c>
      <c r="N534" s="20"/>
      <c r="O534" s="22" t="str">
        <f aca="false">IF($B534="","",$B534+5)</f>
        <v/>
      </c>
      <c r="P534" s="20"/>
      <c r="Q534" s="22" t="str">
        <f aca="false">IF($B534="","",$B534+10)</f>
        <v/>
      </c>
      <c r="R534" s="20"/>
      <c r="S534" s="23" t="str">
        <f aca="true">IF($B534="","",IF(AND($N534="Y",$P534="Y",$R534="Y"),"Done",IF(OR(AND($M534&lt;=TODAY(),$N534&lt;&gt;"Y"),AND($O534&lt;=TODAY(),$P534&lt;&gt;"Y"),AND($Q534&lt;=TODAY(),$R534&lt;&gt;"Y")),"DUE","Scheduled")))</f>
        <v/>
      </c>
      <c r="T534" s="20"/>
      <c r="U534" s="23" t="str">
        <f aca="false">IF($B534="","",IF(OR($T534&lt;=2,$I534="Editorial"),"REDO",""))</f>
        <v/>
      </c>
      <c r="V534" s="18" t="str">
        <f aca="false">IF($S534&lt;&gt;"DUE","",COUNTIF($S$3:$S534,"DUE"))</f>
        <v/>
      </c>
    </row>
    <row r="535" customFormat="false" ht="15" hidden="false" customHeight="false" outlineLevel="0" collapsed="false">
      <c r="A535" s="12" t="str">
        <f aca="false">IF($F535="","",ROW()-2)</f>
        <v/>
      </c>
      <c r="B535" s="19"/>
      <c r="C535" s="20"/>
      <c r="D535" s="21"/>
      <c r="E535" s="21"/>
      <c r="F535" s="21"/>
      <c r="G535" s="20"/>
      <c r="H535" s="21"/>
      <c r="I535" s="20"/>
      <c r="J535" s="20"/>
      <c r="K535" s="21"/>
      <c r="L535" s="21"/>
      <c r="M535" s="22" t="str">
        <f aca="false">IF($B535="","",$B535+2)</f>
        <v/>
      </c>
      <c r="N535" s="20"/>
      <c r="O535" s="22" t="str">
        <f aca="false">IF($B535="","",$B535+5)</f>
        <v/>
      </c>
      <c r="P535" s="20"/>
      <c r="Q535" s="22" t="str">
        <f aca="false">IF($B535="","",$B535+10)</f>
        <v/>
      </c>
      <c r="R535" s="20"/>
      <c r="S535" s="23" t="str">
        <f aca="true">IF($B535="","",IF(AND($N535="Y",$P535="Y",$R535="Y"),"Done",IF(OR(AND($M535&lt;=TODAY(),$N535&lt;&gt;"Y"),AND($O535&lt;=TODAY(),$P535&lt;&gt;"Y"),AND($Q535&lt;=TODAY(),$R535&lt;&gt;"Y")),"DUE","Scheduled")))</f>
        <v/>
      </c>
      <c r="T535" s="20"/>
      <c r="U535" s="23" t="str">
        <f aca="false">IF($B535="","",IF(OR($T535&lt;=2,$I535="Editorial"),"REDO",""))</f>
        <v/>
      </c>
      <c r="V535" s="18" t="str">
        <f aca="false">IF($S535&lt;&gt;"DUE","",COUNTIF($S$3:$S535,"DUE"))</f>
        <v/>
      </c>
    </row>
    <row r="536" customFormat="false" ht="15" hidden="false" customHeight="false" outlineLevel="0" collapsed="false">
      <c r="A536" s="12" t="str">
        <f aca="false">IF($F536="","",ROW()-2)</f>
        <v/>
      </c>
      <c r="B536" s="19"/>
      <c r="C536" s="20"/>
      <c r="D536" s="21"/>
      <c r="E536" s="21"/>
      <c r="F536" s="21"/>
      <c r="G536" s="20"/>
      <c r="H536" s="21"/>
      <c r="I536" s="20"/>
      <c r="J536" s="20"/>
      <c r="K536" s="21"/>
      <c r="L536" s="21"/>
      <c r="M536" s="22" t="str">
        <f aca="false">IF($B536="","",$B536+2)</f>
        <v/>
      </c>
      <c r="N536" s="20"/>
      <c r="O536" s="22" t="str">
        <f aca="false">IF($B536="","",$B536+5)</f>
        <v/>
      </c>
      <c r="P536" s="20"/>
      <c r="Q536" s="22" t="str">
        <f aca="false">IF($B536="","",$B536+10)</f>
        <v/>
      </c>
      <c r="R536" s="20"/>
      <c r="S536" s="23" t="str">
        <f aca="true">IF($B536="","",IF(AND($N536="Y",$P536="Y",$R536="Y"),"Done",IF(OR(AND($M536&lt;=TODAY(),$N536&lt;&gt;"Y"),AND($O536&lt;=TODAY(),$P536&lt;&gt;"Y"),AND($Q536&lt;=TODAY(),$R536&lt;&gt;"Y")),"DUE","Scheduled")))</f>
        <v/>
      </c>
      <c r="T536" s="20"/>
      <c r="U536" s="23" t="str">
        <f aca="false">IF($B536="","",IF(OR($T536&lt;=2,$I536="Editorial"),"REDO",""))</f>
        <v/>
      </c>
      <c r="V536" s="18" t="str">
        <f aca="false">IF($S536&lt;&gt;"DUE","",COUNTIF($S$3:$S536,"DUE"))</f>
        <v/>
      </c>
    </row>
    <row r="537" customFormat="false" ht="15" hidden="false" customHeight="false" outlineLevel="0" collapsed="false">
      <c r="A537" s="12" t="str">
        <f aca="false">IF($F537="","",ROW()-2)</f>
        <v/>
      </c>
      <c r="B537" s="19"/>
      <c r="C537" s="20"/>
      <c r="D537" s="21"/>
      <c r="E537" s="21"/>
      <c r="F537" s="21"/>
      <c r="G537" s="20"/>
      <c r="H537" s="21"/>
      <c r="I537" s="20"/>
      <c r="J537" s="20"/>
      <c r="K537" s="21"/>
      <c r="L537" s="21"/>
      <c r="M537" s="22" t="str">
        <f aca="false">IF($B537="","",$B537+2)</f>
        <v/>
      </c>
      <c r="N537" s="20"/>
      <c r="O537" s="22" t="str">
        <f aca="false">IF($B537="","",$B537+5)</f>
        <v/>
      </c>
      <c r="P537" s="20"/>
      <c r="Q537" s="22" t="str">
        <f aca="false">IF($B537="","",$B537+10)</f>
        <v/>
      </c>
      <c r="R537" s="20"/>
      <c r="S537" s="23" t="str">
        <f aca="true">IF($B537="","",IF(AND($N537="Y",$P537="Y",$R537="Y"),"Done",IF(OR(AND($M537&lt;=TODAY(),$N537&lt;&gt;"Y"),AND($O537&lt;=TODAY(),$P537&lt;&gt;"Y"),AND($Q537&lt;=TODAY(),$R537&lt;&gt;"Y")),"DUE","Scheduled")))</f>
        <v/>
      </c>
      <c r="T537" s="20"/>
      <c r="U537" s="23" t="str">
        <f aca="false">IF($B537="","",IF(OR($T537&lt;=2,$I537="Editorial"),"REDO",""))</f>
        <v/>
      </c>
      <c r="V537" s="18" t="str">
        <f aca="false">IF($S537&lt;&gt;"DUE","",COUNTIF($S$3:$S537,"DUE"))</f>
        <v/>
      </c>
    </row>
    <row r="538" customFormat="false" ht="15" hidden="false" customHeight="false" outlineLevel="0" collapsed="false">
      <c r="A538" s="12" t="str">
        <f aca="false">IF($F538="","",ROW()-2)</f>
        <v/>
      </c>
      <c r="B538" s="19"/>
      <c r="C538" s="20"/>
      <c r="D538" s="21"/>
      <c r="E538" s="21"/>
      <c r="F538" s="21"/>
      <c r="G538" s="20"/>
      <c r="H538" s="21"/>
      <c r="I538" s="20"/>
      <c r="J538" s="20"/>
      <c r="K538" s="21"/>
      <c r="L538" s="21"/>
      <c r="M538" s="22" t="str">
        <f aca="false">IF($B538="","",$B538+2)</f>
        <v/>
      </c>
      <c r="N538" s="20"/>
      <c r="O538" s="22" t="str">
        <f aca="false">IF($B538="","",$B538+5)</f>
        <v/>
      </c>
      <c r="P538" s="20"/>
      <c r="Q538" s="22" t="str">
        <f aca="false">IF($B538="","",$B538+10)</f>
        <v/>
      </c>
      <c r="R538" s="20"/>
      <c r="S538" s="23" t="str">
        <f aca="true">IF($B538="","",IF(AND($N538="Y",$P538="Y",$R538="Y"),"Done",IF(OR(AND($M538&lt;=TODAY(),$N538&lt;&gt;"Y"),AND($O538&lt;=TODAY(),$P538&lt;&gt;"Y"),AND($Q538&lt;=TODAY(),$R538&lt;&gt;"Y")),"DUE","Scheduled")))</f>
        <v/>
      </c>
      <c r="T538" s="20"/>
      <c r="U538" s="23" t="str">
        <f aca="false">IF($B538="","",IF(OR($T538&lt;=2,$I538="Editorial"),"REDO",""))</f>
        <v/>
      </c>
      <c r="V538" s="18" t="str">
        <f aca="false">IF($S538&lt;&gt;"DUE","",COUNTIF($S$3:$S538,"DUE"))</f>
        <v/>
      </c>
    </row>
    <row r="539" customFormat="false" ht="15" hidden="false" customHeight="false" outlineLevel="0" collapsed="false">
      <c r="A539" s="12" t="str">
        <f aca="false">IF($F539="","",ROW()-2)</f>
        <v/>
      </c>
      <c r="B539" s="19"/>
      <c r="C539" s="20"/>
      <c r="D539" s="21"/>
      <c r="E539" s="21"/>
      <c r="F539" s="21"/>
      <c r="G539" s="20"/>
      <c r="H539" s="21"/>
      <c r="I539" s="20"/>
      <c r="J539" s="20"/>
      <c r="K539" s="21"/>
      <c r="L539" s="21"/>
      <c r="M539" s="22" t="str">
        <f aca="false">IF($B539="","",$B539+2)</f>
        <v/>
      </c>
      <c r="N539" s="20"/>
      <c r="O539" s="22" t="str">
        <f aca="false">IF($B539="","",$B539+5)</f>
        <v/>
      </c>
      <c r="P539" s="20"/>
      <c r="Q539" s="22" t="str">
        <f aca="false">IF($B539="","",$B539+10)</f>
        <v/>
      </c>
      <c r="R539" s="20"/>
      <c r="S539" s="23" t="str">
        <f aca="true">IF($B539="","",IF(AND($N539="Y",$P539="Y",$R539="Y"),"Done",IF(OR(AND($M539&lt;=TODAY(),$N539&lt;&gt;"Y"),AND($O539&lt;=TODAY(),$P539&lt;&gt;"Y"),AND($Q539&lt;=TODAY(),$R539&lt;&gt;"Y")),"DUE","Scheduled")))</f>
        <v/>
      </c>
      <c r="T539" s="20"/>
      <c r="U539" s="23" t="str">
        <f aca="false">IF($B539="","",IF(OR($T539&lt;=2,$I539="Editorial"),"REDO",""))</f>
        <v/>
      </c>
      <c r="V539" s="18" t="str">
        <f aca="false">IF($S539&lt;&gt;"DUE","",COUNTIF($S$3:$S539,"DUE"))</f>
        <v/>
      </c>
    </row>
    <row r="540" customFormat="false" ht="15" hidden="false" customHeight="false" outlineLevel="0" collapsed="false">
      <c r="A540" s="12" t="str">
        <f aca="false">IF($F540="","",ROW()-2)</f>
        <v/>
      </c>
      <c r="B540" s="19"/>
      <c r="C540" s="20"/>
      <c r="D540" s="21"/>
      <c r="E540" s="21"/>
      <c r="F540" s="21"/>
      <c r="G540" s="20"/>
      <c r="H540" s="21"/>
      <c r="I540" s="20"/>
      <c r="J540" s="20"/>
      <c r="K540" s="21"/>
      <c r="L540" s="21"/>
      <c r="M540" s="22" t="str">
        <f aca="false">IF($B540="","",$B540+2)</f>
        <v/>
      </c>
      <c r="N540" s="20"/>
      <c r="O540" s="22" t="str">
        <f aca="false">IF($B540="","",$B540+5)</f>
        <v/>
      </c>
      <c r="P540" s="20"/>
      <c r="Q540" s="22" t="str">
        <f aca="false">IF($B540="","",$B540+10)</f>
        <v/>
      </c>
      <c r="R540" s="20"/>
      <c r="S540" s="23" t="str">
        <f aca="true">IF($B540="","",IF(AND($N540="Y",$P540="Y",$R540="Y"),"Done",IF(OR(AND($M540&lt;=TODAY(),$N540&lt;&gt;"Y"),AND($O540&lt;=TODAY(),$P540&lt;&gt;"Y"),AND($Q540&lt;=TODAY(),$R540&lt;&gt;"Y")),"DUE","Scheduled")))</f>
        <v/>
      </c>
      <c r="T540" s="20"/>
      <c r="U540" s="23" t="str">
        <f aca="false">IF($B540="","",IF(OR($T540&lt;=2,$I540="Editorial"),"REDO",""))</f>
        <v/>
      </c>
      <c r="V540" s="18" t="str">
        <f aca="false">IF($S540&lt;&gt;"DUE","",COUNTIF($S$3:$S540,"DUE"))</f>
        <v/>
      </c>
    </row>
    <row r="541" customFormat="false" ht="15" hidden="false" customHeight="false" outlineLevel="0" collapsed="false">
      <c r="A541" s="12" t="str">
        <f aca="false">IF($F541="","",ROW()-2)</f>
        <v/>
      </c>
      <c r="B541" s="19"/>
      <c r="C541" s="20"/>
      <c r="D541" s="21"/>
      <c r="E541" s="21"/>
      <c r="F541" s="21"/>
      <c r="G541" s="20"/>
      <c r="H541" s="21"/>
      <c r="I541" s="20"/>
      <c r="J541" s="20"/>
      <c r="K541" s="21"/>
      <c r="L541" s="21"/>
      <c r="M541" s="22" t="str">
        <f aca="false">IF($B541="","",$B541+2)</f>
        <v/>
      </c>
      <c r="N541" s="20"/>
      <c r="O541" s="22" t="str">
        <f aca="false">IF($B541="","",$B541+5)</f>
        <v/>
      </c>
      <c r="P541" s="20"/>
      <c r="Q541" s="22" t="str">
        <f aca="false">IF($B541="","",$B541+10)</f>
        <v/>
      </c>
      <c r="R541" s="20"/>
      <c r="S541" s="23" t="str">
        <f aca="true">IF($B541="","",IF(AND($N541="Y",$P541="Y",$R541="Y"),"Done",IF(OR(AND($M541&lt;=TODAY(),$N541&lt;&gt;"Y"),AND($O541&lt;=TODAY(),$P541&lt;&gt;"Y"),AND($Q541&lt;=TODAY(),$R541&lt;&gt;"Y")),"DUE","Scheduled")))</f>
        <v/>
      </c>
      <c r="T541" s="20"/>
      <c r="U541" s="23" t="str">
        <f aca="false">IF($B541="","",IF(OR($T541&lt;=2,$I541="Editorial"),"REDO",""))</f>
        <v/>
      </c>
      <c r="V541" s="18" t="str">
        <f aca="false">IF($S541&lt;&gt;"DUE","",COUNTIF($S$3:$S541,"DUE"))</f>
        <v/>
      </c>
    </row>
    <row r="542" customFormat="false" ht="15" hidden="false" customHeight="false" outlineLevel="0" collapsed="false">
      <c r="A542" s="12" t="str">
        <f aca="false">IF($F542="","",ROW()-2)</f>
        <v/>
      </c>
      <c r="B542" s="19"/>
      <c r="C542" s="20"/>
      <c r="D542" s="21"/>
      <c r="E542" s="21"/>
      <c r="F542" s="21"/>
      <c r="G542" s="20"/>
      <c r="H542" s="21"/>
      <c r="I542" s="20"/>
      <c r="J542" s="20"/>
      <c r="K542" s="21"/>
      <c r="L542" s="21"/>
      <c r="M542" s="22" t="str">
        <f aca="false">IF($B542="","",$B542+2)</f>
        <v/>
      </c>
      <c r="N542" s="20"/>
      <c r="O542" s="22" t="str">
        <f aca="false">IF($B542="","",$B542+5)</f>
        <v/>
      </c>
      <c r="P542" s="20"/>
      <c r="Q542" s="22" t="str">
        <f aca="false">IF($B542="","",$B542+10)</f>
        <v/>
      </c>
      <c r="R542" s="20"/>
      <c r="S542" s="23" t="str">
        <f aca="true">IF($B542="","",IF(AND($N542="Y",$P542="Y",$R542="Y"),"Done",IF(OR(AND($M542&lt;=TODAY(),$N542&lt;&gt;"Y"),AND($O542&lt;=TODAY(),$P542&lt;&gt;"Y"),AND($Q542&lt;=TODAY(),$R542&lt;&gt;"Y")),"DUE","Scheduled")))</f>
        <v/>
      </c>
      <c r="T542" s="20"/>
      <c r="U542" s="23" t="str">
        <f aca="false">IF($B542="","",IF(OR($T542&lt;=2,$I542="Editorial"),"REDO",""))</f>
        <v/>
      </c>
      <c r="V542" s="18" t="str">
        <f aca="false">IF($S542&lt;&gt;"DUE","",COUNTIF($S$3:$S542,"DUE"))</f>
        <v/>
      </c>
    </row>
    <row r="543" customFormat="false" ht="15" hidden="false" customHeight="false" outlineLevel="0" collapsed="false">
      <c r="A543" s="12" t="str">
        <f aca="false">IF($F543="","",ROW()-2)</f>
        <v/>
      </c>
      <c r="B543" s="19"/>
      <c r="C543" s="20"/>
      <c r="D543" s="21"/>
      <c r="E543" s="21"/>
      <c r="F543" s="21"/>
      <c r="G543" s="20"/>
      <c r="H543" s="21"/>
      <c r="I543" s="20"/>
      <c r="J543" s="20"/>
      <c r="K543" s="21"/>
      <c r="L543" s="21"/>
      <c r="M543" s="22" t="str">
        <f aca="false">IF($B543="","",$B543+2)</f>
        <v/>
      </c>
      <c r="N543" s="20"/>
      <c r="O543" s="22" t="str">
        <f aca="false">IF($B543="","",$B543+5)</f>
        <v/>
      </c>
      <c r="P543" s="20"/>
      <c r="Q543" s="22" t="str">
        <f aca="false">IF($B543="","",$B543+10)</f>
        <v/>
      </c>
      <c r="R543" s="20"/>
      <c r="S543" s="23" t="str">
        <f aca="true">IF($B543="","",IF(AND($N543="Y",$P543="Y",$R543="Y"),"Done",IF(OR(AND($M543&lt;=TODAY(),$N543&lt;&gt;"Y"),AND($O543&lt;=TODAY(),$P543&lt;&gt;"Y"),AND($Q543&lt;=TODAY(),$R543&lt;&gt;"Y")),"DUE","Scheduled")))</f>
        <v/>
      </c>
      <c r="T543" s="20"/>
      <c r="U543" s="23" t="str">
        <f aca="false">IF($B543="","",IF(OR($T543&lt;=2,$I543="Editorial"),"REDO",""))</f>
        <v/>
      </c>
      <c r="V543" s="18" t="str">
        <f aca="false">IF($S543&lt;&gt;"DUE","",COUNTIF($S$3:$S543,"DUE"))</f>
        <v/>
      </c>
    </row>
    <row r="544" customFormat="false" ht="15" hidden="false" customHeight="false" outlineLevel="0" collapsed="false">
      <c r="A544" s="12" t="str">
        <f aca="false">IF($F544="","",ROW()-2)</f>
        <v/>
      </c>
      <c r="B544" s="19"/>
      <c r="C544" s="20"/>
      <c r="D544" s="21"/>
      <c r="E544" s="21"/>
      <c r="F544" s="21"/>
      <c r="G544" s="20"/>
      <c r="H544" s="21"/>
      <c r="I544" s="20"/>
      <c r="J544" s="20"/>
      <c r="K544" s="21"/>
      <c r="L544" s="21"/>
      <c r="M544" s="22" t="str">
        <f aca="false">IF($B544="","",$B544+2)</f>
        <v/>
      </c>
      <c r="N544" s="20"/>
      <c r="O544" s="22" t="str">
        <f aca="false">IF($B544="","",$B544+5)</f>
        <v/>
      </c>
      <c r="P544" s="20"/>
      <c r="Q544" s="22" t="str">
        <f aca="false">IF($B544="","",$B544+10)</f>
        <v/>
      </c>
      <c r="R544" s="20"/>
      <c r="S544" s="23" t="str">
        <f aca="true">IF($B544="","",IF(AND($N544="Y",$P544="Y",$R544="Y"),"Done",IF(OR(AND($M544&lt;=TODAY(),$N544&lt;&gt;"Y"),AND($O544&lt;=TODAY(),$P544&lt;&gt;"Y"),AND($Q544&lt;=TODAY(),$R544&lt;&gt;"Y")),"DUE","Scheduled")))</f>
        <v/>
      </c>
      <c r="T544" s="20"/>
      <c r="U544" s="23" t="str">
        <f aca="false">IF($B544="","",IF(OR($T544&lt;=2,$I544="Editorial"),"REDO",""))</f>
        <v/>
      </c>
      <c r="V544" s="18" t="str">
        <f aca="false">IF($S544&lt;&gt;"DUE","",COUNTIF($S$3:$S544,"DUE"))</f>
        <v/>
      </c>
    </row>
    <row r="545" customFormat="false" ht="15" hidden="false" customHeight="false" outlineLevel="0" collapsed="false">
      <c r="A545" s="12" t="str">
        <f aca="false">IF($F545="","",ROW()-2)</f>
        <v/>
      </c>
      <c r="B545" s="19"/>
      <c r="C545" s="20"/>
      <c r="D545" s="21"/>
      <c r="E545" s="21"/>
      <c r="F545" s="21"/>
      <c r="G545" s="20"/>
      <c r="H545" s="21"/>
      <c r="I545" s="20"/>
      <c r="J545" s="20"/>
      <c r="K545" s="21"/>
      <c r="L545" s="21"/>
      <c r="M545" s="22" t="str">
        <f aca="false">IF($B545="","",$B545+2)</f>
        <v/>
      </c>
      <c r="N545" s="20"/>
      <c r="O545" s="22" t="str">
        <f aca="false">IF($B545="","",$B545+5)</f>
        <v/>
      </c>
      <c r="P545" s="20"/>
      <c r="Q545" s="22" t="str">
        <f aca="false">IF($B545="","",$B545+10)</f>
        <v/>
      </c>
      <c r="R545" s="20"/>
      <c r="S545" s="23" t="str">
        <f aca="true">IF($B545="","",IF(AND($N545="Y",$P545="Y",$R545="Y"),"Done",IF(OR(AND($M545&lt;=TODAY(),$N545&lt;&gt;"Y"),AND($O545&lt;=TODAY(),$P545&lt;&gt;"Y"),AND($Q545&lt;=TODAY(),$R545&lt;&gt;"Y")),"DUE","Scheduled")))</f>
        <v/>
      </c>
      <c r="T545" s="20"/>
      <c r="U545" s="23" t="str">
        <f aca="false">IF($B545="","",IF(OR($T545&lt;=2,$I545="Editorial"),"REDO",""))</f>
        <v/>
      </c>
      <c r="V545" s="18" t="str">
        <f aca="false">IF($S545&lt;&gt;"DUE","",COUNTIF($S$3:$S545,"DUE"))</f>
        <v/>
      </c>
    </row>
    <row r="546" customFormat="false" ht="15" hidden="false" customHeight="false" outlineLevel="0" collapsed="false">
      <c r="A546" s="12" t="str">
        <f aca="false">IF($F546="","",ROW()-2)</f>
        <v/>
      </c>
      <c r="B546" s="19"/>
      <c r="C546" s="20"/>
      <c r="D546" s="21"/>
      <c r="E546" s="21"/>
      <c r="F546" s="21"/>
      <c r="G546" s="20"/>
      <c r="H546" s="21"/>
      <c r="I546" s="20"/>
      <c r="J546" s="20"/>
      <c r="K546" s="21"/>
      <c r="L546" s="21"/>
      <c r="M546" s="22" t="str">
        <f aca="false">IF($B546="","",$B546+2)</f>
        <v/>
      </c>
      <c r="N546" s="20"/>
      <c r="O546" s="22" t="str">
        <f aca="false">IF($B546="","",$B546+5)</f>
        <v/>
      </c>
      <c r="P546" s="20"/>
      <c r="Q546" s="22" t="str">
        <f aca="false">IF($B546="","",$B546+10)</f>
        <v/>
      </c>
      <c r="R546" s="20"/>
      <c r="S546" s="23" t="str">
        <f aca="true">IF($B546="","",IF(AND($N546="Y",$P546="Y",$R546="Y"),"Done",IF(OR(AND($M546&lt;=TODAY(),$N546&lt;&gt;"Y"),AND($O546&lt;=TODAY(),$P546&lt;&gt;"Y"),AND($Q546&lt;=TODAY(),$R546&lt;&gt;"Y")),"DUE","Scheduled")))</f>
        <v/>
      </c>
      <c r="T546" s="20"/>
      <c r="U546" s="23" t="str">
        <f aca="false">IF($B546="","",IF(OR($T546&lt;=2,$I546="Editorial"),"REDO",""))</f>
        <v/>
      </c>
      <c r="V546" s="18" t="str">
        <f aca="false">IF($S546&lt;&gt;"DUE","",COUNTIF($S$3:$S546,"DUE"))</f>
        <v/>
      </c>
    </row>
    <row r="547" customFormat="false" ht="15" hidden="false" customHeight="false" outlineLevel="0" collapsed="false">
      <c r="A547" s="12" t="str">
        <f aca="false">IF($F547="","",ROW()-2)</f>
        <v/>
      </c>
      <c r="B547" s="19"/>
      <c r="C547" s="20"/>
      <c r="D547" s="21"/>
      <c r="E547" s="21"/>
      <c r="F547" s="21"/>
      <c r="G547" s="20"/>
      <c r="H547" s="21"/>
      <c r="I547" s="20"/>
      <c r="J547" s="20"/>
      <c r="K547" s="21"/>
      <c r="L547" s="21"/>
      <c r="M547" s="22" t="str">
        <f aca="false">IF($B547="","",$B547+2)</f>
        <v/>
      </c>
      <c r="N547" s="20"/>
      <c r="O547" s="22" t="str">
        <f aca="false">IF($B547="","",$B547+5)</f>
        <v/>
      </c>
      <c r="P547" s="20"/>
      <c r="Q547" s="22" t="str">
        <f aca="false">IF($B547="","",$B547+10)</f>
        <v/>
      </c>
      <c r="R547" s="20"/>
      <c r="S547" s="23" t="str">
        <f aca="true">IF($B547="","",IF(AND($N547="Y",$P547="Y",$R547="Y"),"Done",IF(OR(AND($M547&lt;=TODAY(),$N547&lt;&gt;"Y"),AND($O547&lt;=TODAY(),$P547&lt;&gt;"Y"),AND($Q547&lt;=TODAY(),$R547&lt;&gt;"Y")),"DUE","Scheduled")))</f>
        <v/>
      </c>
      <c r="T547" s="20"/>
      <c r="U547" s="23" t="str">
        <f aca="false">IF($B547="","",IF(OR($T547&lt;=2,$I547="Editorial"),"REDO",""))</f>
        <v/>
      </c>
      <c r="V547" s="18" t="str">
        <f aca="false">IF($S547&lt;&gt;"DUE","",COUNTIF($S$3:$S547,"DUE"))</f>
        <v/>
      </c>
    </row>
    <row r="548" customFormat="false" ht="15" hidden="false" customHeight="false" outlineLevel="0" collapsed="false">
      <c r="A548" s="12" t="str">
        <f aca="false">IF($F548="","",ROW()-2)</f>
        <v/>
      </c>
      <c r="B548" s="19"/>
      <c r="C548" s="20"/>
      <c r="D548" s="21"/>
      <c r="E548" s="21"/>
      <c r="F548" s="21"/>
      <c r="G548" s="20"/>
      <c r="H548" s="21"/>
      <c r="I548" s="20"/>
      <c r="J548" s="20"/>
      <c r="K548" s="21"/>
      <c r="L548" s="21"/>
      <c r="M548" s="22" t="str">
        <f aca="false">IF($B548="","",$B548+2)</f>
        <v/>
      </c>
      <c r="N548" s="20"/>
      <c r="O548" s="22" t="str">
        <f aca="false">IF($B548="","",$B548+5)</f>
        <v/>
      </c>
      <c r="P548" s="20"/>
      <c r="Q548" s="22" t="str">
        <f aca="false">IF($B548="","",$B548+10)</f>
        <v/>
      </c>
      <c r="R548" s="20"/>
      <c r="S548" s="23" t="str">
        <f aca="true">IF($B548="","",IF(AND($N548="Y",$P548="Y",$R548="Y"),"Done",IF(OR(AND($M548&lt;=TODAY(),$N548&lt;&gt;"Y"),AND($O548&lt;=TODAY(),$P548&lt;&gt;"Y"),AND($Q548&lt;=TODAY(),$R548&lt;&gt;"Y")),"DUE","Scheduled")))</f>
        <v/>
      </c>
      <c r="T548" s="20"/>
      <c r="U548" s="23" t="str">
        <f aca="false">IF($B548="","",IF(OR($T548&lt;=2,$I548="Editorial"),"REDO",""))</f>
        <v/>
      </c>
      <c r="V548" s="18" t="str">
        <f aca="false">IF($S548&lt;&gt;"DUE","",COUNTIF($S$3:$S548,"DUE"))</f>
        <v/>
      </c>
    </row>
    <row r="549" customFormat="false" ht="15" hidden="false" customHeight="false" outlineLevel="0" collapsed="false">
      <c r="A549" s="12" t="str">
        <f aca="false">IF($F549="","",ROW()-2)</f>
        <v/>
      </c>
      <c r="B549" s="19"/>
      <c r="C549" s="20"/>
      <c r="D549" s="21"/>
      <c r="E549" s="21"/>
      <c r="F549" s="21"/>
      <c r="G549" s="20"/>
      <c r="H549" s="21"/>
      <c r="I549" s="20"/>
      <c r="J549" s="20"/>
      <c r="K549" s="21"/>
      <c r="L549" s="21"/>
      <c r="M549" s="22" t="str">
        <f aca="false">IF($B549="","",$B549+2)</f>
        <v/>
      </c>
      <c r="N549" s="20"/>
      <c r="O549" s="22" t="str">
        <f aca="false">IF($B549="","",$B549+5)</f>
        <v/>
      </c>
      <c r="P549" s="20"/>
      <c r="Q549" s="22" t="str">
        <f aca="false">IF($B549="","",$B549+10)</f>
        <v/>
      </c>
      <c r="R549" s="20"/>
      <c r="S549" s="23" t="str">
        <f aca="true">IF($B549="","",IF(AND($N549="Y",$P549="Y",$R549="Y"),"Done",IF(OR(AND($M549&lt;=TODAY(),$N549&lt;&gt;"Y"),AND($O549&lt;=TODAY(),$P549&lt;&gt;"Y"),AND($Q549&lt;=TODAY(),$R549&lt;&gt;"Y")),"DUE","Scheduled")))</f>
        <v/>
      </c>
      <c r="T549" s="20"/>
      <c r="U549" s="23" t="str">
        <f aca="false">IF($B549="","",IF(OR($T549&lt;=2,$I549="Editorial"),"REDO",""))</f>
        <v/>
      </c>
      <c r="V549" s="18" t="str">
        <f aca="false">IF($S549&lt;&gt;"DUE","",COUNTIF($S$3:$S549,"DUE"))</f>
        <v/>
      </c>
    </row>
    <row r="550" customFormat="false" ht="15" hidden="false" customHeight="false" outlineLevel="0" collapsed="false">
      <c r="A550" s="12" t="str">
        <f aca="false">IF($F550="","",ROW()-2)</f>
        <v/>
      </c>
      <c r="B550" s="19"/>
      <c r="C550" s="20"/>
      <c r="D550" s="21"/>
      <c r="E550" s="21"/>
      <c r="F550" s="21"/>
      <c r="G550" s="20"/>
      <c r="H550" s="21"/>
      <c r="I550" s="20"/>
      <c r="J550" s="20"/>
      <c r="K550" s="21"/>
      <c r="L550" s="21"/>
      <c r="M550" s="22" t="str">
        <f aca="false">IF($B550="","",$B550+2)</f>
        <v/>
      </c>
      <c r="N550" s="20"/>
      <c r="O550" s="22" t="str">
        <f aca="false">IF($B550="","",$B550+5)</f>
        <v/>
      </c>
      <c r="P550" s="20"/>
      <c r="Q550" s="22" t="str">
        <f aca="false">IF($B550="","",$B550+10)</f>
        <v/>
      </c>
      <c r="R550" s="20"/>
      <c r="S550" s="23" t="str">
        <f aca="true">IF($B550="","",IF(AND($N550="Y",$P550="Y",$R550="Y"),"Done",IF(OR(AND($M550&lt;=TODAY(),$N550&lt;&gt;"Y"),AND($O550&lt;=TODAY(),$P550&lt;&gt;"Y"),AND($Q550&lt;=TODAY(),$R550&lt;&gt;"Y")),"DUE","Scheduled")))</f>
        <v/>
      </c>
      <c r="T550" s="20"/>
      <c r="U550" s="23" t="str">
        <f aca="false">IF($B550="","",IF(OR($T550&lt;=2,$I550="Editorial"),"REDO",""))</f>
        <v/>
      </c>
      <c r="V550" s="18" t="str">
        <f aca="false">IF($S550&lt;&gt;"DUE","",COUNTIF($S$3:$S550,"DUE"))</f>
        <v/>
      </c>
    </row>
    <row r="551" customFormat="false" ht="15" hidden="false" customHeight="false" outlineLevel="0" collapsed="false">
      <c r="A551" s="12" t="str">
        <f aca="false">IF($F551="","",ROW()-2)</f>
        <v/>
      </c>
      <c r="B551" s="19"/>
      <c r="C551" s="20"/>
      <c r="D551" s="21"/>
      <c r="E551" s="21"/>
      <c r="F551" s="21"/>
      <c r="G551" s="20"/>
      <c r="H551" s="21"/>
      <c r="I551" s="20"/>
      <c r="J551" s="20"/>
      <c r="K551" s="21"/>
      <c r="L551" s="21"/>
      <c r="M551" s="22" t="str">
        <f aca="false">IF($B551="","",$B551+2)</f>
        <v/>
      </c>
      <c r="N551" s="20"/>
      <c r="O551" s="22" t="str">
        <f aca="false">IF($B551="","",$B551+5)</f>
        <v/>
      </c>
      <c r="P551" s="20"/>
      <c r="Q551" s="22" t="str">
        <f aca="false">IF($B551="","",$B551+10)</f>
        <v/>
      </c>
      <c r="R551" s="20"/>
      <c r="S551" s="23" t="str">
        <f aca="true">IF($B551="","",IF(AND($N551="Y",$P551="Y",$R551="Y"),"Done",IF(OR(AND($M551&lt;=TODAY(),$N551&lt;&gt;"Y"),AND($O551&lt;=TODAY(),$P551&lt;&gt;"Y"),AND($Q551&lt;=TODAY(),$R551&lt;&gt;"Y")),"DUE","Scheduled")))</f>
        <v/>
      </c>
      <c r="T551" s="20"/>
      <c r="U551" s="23" t="str">
        <f aca="false">IF($B551="","",IF(OR($T551&lt;=2,$I551="Editorial"),"REDO",""))</f>
        <v/>
      </c>
      <c r="V551" s="18" t="str">
        <f aca="false">IF($S551&lt;&gt;"DUE","",COUNTIF($S$3:$S551,"DUE"))</f>
        <v/>
      </c>
    </row>
    <row r="552" customFormat="false" ht="15" hidden="false" customHeight="false" outlineLevel="0" collapsed="false">
      <c r="A552" s="12" t="str">
        <f aca="false">IF($F552="","",ROW()-2)</f>
        <v/>
      </c>
      <c r="B552" s="19"/>
      <c r="C552" s="20"/>
      <c r="D552" s="21"/>
      <c r="E552" s="21"/>
      <c r="F552" s="21"/>
      <c r="G552" s="20"/>
      <c r="H552" s="21"/>
      <c r="I552" s="20"/>
      <c r="J552" s="20"/>
      <c r="K552" s="21"/>
      <c r="L552" s="21"/>
      <c r="M552" s="22" t="str">
        <f aca="false">IF($B552="","",$B552+2)</f>
        <v/>
      </c>
      <c r="N552" s="20"/>
      <c r="O552" s="22" t="str">
        <f aca="false">IF($B552="","",$B552+5)</f>
        <v/>
      </c>
      <c r="P552" s="20"/>
      <c r="Q552" s="22" t="str">
        <f aca="false">IF($B552="","",$B552+10)</f>
        <v/>
      </c>
      <c r="R552" s="20"/>
      <c r="S552" s="23" t="str">
        <f aca="true">IF($B552="","",IF(AND($N552="Y",$P552="Y",$R552="Y"),"Done",IF(OR(AND($M552&lt;=TODAY(),$N552&lt;&gt;"Y"),AND($O552&lt;=TODAY(),$P552&lt;&gt;"Y"),AND($Q552&lt;=TODAY(),$R552&lt;&gt;"Y")),"DUE","Scheduled")))</f>
        <v/>
      </c>
      <c r="T552" s="20"/>
      <c r="U552" s="23" t="str">
        <f aca="false">IF($B552="","",IF(OR($T552&lt;=2,$I552="Editorial"),"REDO",""))</f>
        <v/>
      </c>
      <c r="V552" s="18" t="str">
        <f aca="false">IF($S552&lt;&gt;"DUE","",COUNTIF($S$3:$S552,"DUE"))</f>
        <v/>
      </c>
    </row>
    <row r="553" customFormat="false" ht="15" hidden="false" customHeight="false" outlineLevel="0" collapsed="false">
      <c r="A553" s="12" t="str">
        <f aca="false">IF($F553="","",ROW()-2)</f>
        <v/>
      </c>
      <c r="B553" s="19"/>
      <c r="C553" s="20"/>
      <c r="D553" s="21"/>
      <c r="E553" s="21"/>
      <c r="F553" s="21"/>
      <c r="G553" s="20"/>
      <c r="H553" s="21"/>
      <c r="I553" s="20"/>
      <c r="J553" s="20"/>
      <c r="K553" s="21"/>
      <c r="L553" s="21"/>
      <c r="M553" s="22" t="str">
        <f aca="false">IF($B553="","",$B553+2)</f>
        <v/>
      </c>
      <c r="N553" s="20"/>
      <c r="O553" s="22" t="str">
        <f aca="false">IF($B553="","",$B553+5)</f>
        <v/>
      </c>
      <c r="P553" s="20"/>
      <c r="Q553" s="22" t="str">
        <f aca="false">IF($B553="","",$B553+10)</f>
        <v/>
      </c>
      <c r="R553" s="20"/>
      <c r="S553" s="23" t="str">
        <f aca="true">IF($B553="","",IF(AND($N553="Y",$P553="Y",$R553="Y"),"Done",IF(OR(AND($M553&lt;=TODAY(),$N553&lt;&gt;"Y"),AND($O553&lt;=TODAY(),$P553&lt;&gt;"Y"),AND($Q553&lt;=TODAY(),$R553&lt;&gt;"Y")),"DUE","Scheduled")))</f>
        <v/>
      </c>
      <c r="T553" s="20"/>
      <c r="U553" s="23" t="str">
        <f aca="false">IF($B553="","",IF(OR($T553&lt;=2,$I553="Editorial"),"REDO",""))</f>
        <v/>
      </c>
      <c r="V553" s="18" t="str">
        <f aca="false">IF($S553&lt;&gt;"DUE","",COUNTIF($S$3:$S553,"DUE"))</f>
        <v/>
      </c>
    </row>
    <row r="554" customFormat="false" ht="15" hidden="false" customHeight="false" outlineLevel="0" collapsed="false">
      <c r="A554" s="12" t="str">
        <f aca="false">IF($F554="","",ROW()-2)</f>
        <v/>
      </c>
      <c r="B554" s="19"/>
      <c r="C554" s="20"/>
      <c r="D554" s="21"/>
      <c r="E554" s="21"/>
      <c r="F554" s="21"/>
      <c r="G554" s="20"/>
      <c r="H554" s="21"/>
      <c r="I554" s="20"/>
      <c r="J554" s="20"/>
      <c r="K554" s="21"/>
      <c r="L554" s="21"/>
      <c r="M554" s="22" t="str">
        <f aca="false">IF($B554="","",$B554+2)</f>
        <v/>
      </c>
      <c r="N554" s="20"/>
      <c r="O554" s="22" t="str">
        <f aca="false">IF($B554="","",$B554+5)</f>
        <v/>
      </c>
      <c r="P554" s="20"/>
      <c r="Q554" s="22" t="str">
        <f aca="false">IF($B554="","",$B554+10)</f>
        <v/>
      </c>
      <c r="R554" s="20"/>
      <c r="S554" s="23" t="str">
        <f aca="true">IF($B554="","",IF(AND($N554="Y",$P554="Y",$R554="Y"),"Done",IF(OR(AND($M554&lt;=TODAY(),$N554&lt;&gt;"Y"),AND($O554&lt;=TODAY(),$P554&lt;&gt;"Y"),AND($Q554&lt;=TODAY(),$R554&lt;&gt;"Y")),"DUE","Scheduled")))</f>
        <v/>
      </c>
      <c r="T554" s="20"/>
      <c r="U554" s="23" t="str">
        <f aca="false">IF($B554="","",IF(OR($T554&lt;=2,$I554="Editorial"),"REDO",""))</f>
        <v/>
      </c>
      <c r="V554" s="18" t="str">
        <f aca="false">IF($S554&lt;&gt;"DUE","",COUNTIF($S$3:$S554,"DUE"))</f>
        <v/>
      </c>
    </row>
    <row r="555" customFormat="false" ht="15" hidden="false" customHeight="false" outlineLevel="0" collapsed="false">
      <c r="A555" s="12" t="str">
        <f aca="false">IF($F555="","",ROW()-2)</f>
        <v/>
      </c>
      <c r="B555" s="19"/>
      <c r="C555" s="20"/>
      <c r="D555" s="21"/>
      <c r="E555" s="21"/>
      <c r="F555" s="21"/>
      <c r="G555" s="20"/>
      <c r="H555" s="21"/>
      <c r="I555" s="20"/>
      <c r="J555" s="20"/>
      <c r="K555" s="21"/>
      <c r="L555" s="21"/>
      <c r="M555" s="22" t="str">
        <f aca="false">IF($B555="","",$B555+2)</f>
        <v/>
      </c>
      <c r="N555" s="20"/>
      <c r="O555" s="22" t="str">
        <f aca="false">IF($B555="","",$B555+5)</f>
        <v/>
      </c>
      <c r="P555" s="20"/>
      <c r="Q555" s="22" t="str">
        <f aca="false">IF($B555="","",$B555+10)</f>
        <v/>
      </c>
      <c r="R555" s="20"/>
      <c r="S555" s="23" t="str">
        <f aca="true">IF($B555="","",IF(AND($N555="Y",$P555="Y",$R555="Y"),"Done",IF(OR(AND($M555&lt;=TODAY(),$N555&lt;&gt;"Y"),AND($O555&lt;=TODAY(),$P555&lt;&gt;"Y"),AND($Q555&lt;=TODAY(),$R555&lt;&gt;"Y")),"DUE","Scheduled")))</f>
        <v/>
      </c>
      <c r="T555" s="20"/>
      <c r="U555" s="23" t="str">
        <f aca="false">IF($B555="","",IF(OR($T555&lt;=2,$I555="Editorial"),"REDO",""))</f>
        <v/>
      </c>
      <c r="V555" s="18" t="str">
        <f aca="false">IF($S555&lt;&gt;"DUE","",COUNTIF($S$3:$S555,"DUE"))</f>
        <v/>
      </c>
    </row>
    <row r="556" customFormat="false" ht="15" hidden="false" customHeight="false" outlineLevel="0" collapsed="false">
      <c r="A556" s="12" t="str">
        <f aca="false">IF($F556="","",ROW()-2)</f>
        <v/>
      </c>
      <c r="B556" s="19"/>
      <c r="C556" s="20"/>
      <c r="D556" s="21"/>
      <c r="E556" s="21"/>
      <c r="F556" s="21"/>
      <c r="G556" s="20"/>
      <c r="H556" s="21"/>
      <c r="I556" s="20"/>
      <c r="J556" s="20"/>
      <c r="K556" s="21"/>
      <c r="L556" s="21"/>
      <c r="M556" s="22" t="str">
        <f aca="false">IF($B556="","",$B556+2)</f>
        <v/>
      </c>
      <c r="N556" s="20"/>
      <c r="O556" s="22" t="str">
        <f aca="false">IF($B556="","",$B556+5)</f>
        <v/>
      </c>
      <c r="P556" s="20"/>
      <c r="Q556" s="22" t="str">
        <f aca="false">IF($B556="","",$B556+10)</f>
        <v/>
      </c>
      <c r="R556" s="20"/>
      <c r="S556" s="23" t="str">
        <f aca="true">IF($B556="","",IF(AND($N556="Y",$P556="Y",$R556="Y"),"Done",IF(OR(AND($M556&lt;=TODAY(),$N556&lt;&gt;"Y"),AND($O556&lt;=TODAY(),$P556&lt;&gt;"Y"),AND($Q556&lt;=TODAY(),$R556&lt;&gt;"Y")),"DUE","Scheduled")))</f>
        <v/>
      </c>
      <c r="T556" s="20"/>
      <c r="U556" s="23" t="str">
        <f aca="false">IF($B556="","",IF(OR($T556&lt;=2,$I556="Editorial"),"REDO",""))</f>
        <v/>
      </c>
      <c r="V556" s="18" t="str">
        <f aca="false">IF($S556&lt;&gt;"DUE","",COUNTIF($S$3:$S556,"DUE"))</f>
        <v/>
      </c>
    </row>
    <row r="557" customFormat="false" ht="15" hidden="false" customHeight="false" outlineLevel="0" collapsed="false">
      <c r="A557" s="12" t="str">
        <f aca="false">IF($F557="","",ROW()-2)</f>
        <v/>
      </c>
      <c r="B557" s="19"/>
      <c r="C557" s="20"/>
      <c r="D557" s="21"/>
      <c r="E557" s="21"/>
      <c r="F557" s="21"/>
      <c r="G557" s="20"/>
      <c r="H557" s="21"/>
      <c r="I557" s="20"/>
      <c r="J557" s="20"/>
      <c r="K557" s="21"/>
      <c r="L557" s="21"/>
      <c r="M557" s="22" t="str">
        <f aca="false">IF($B557="","",$B557+2)</f>
        <v/>
      </c>
      <c r="N557" s="20"/>
      <c r="O557" s="22" t="str">
        <f aca="false">IF($B557="","",$B557+5)</f>
        <v/>
      </c>
      <c r="P557" s="20"/>
      <c r="Q557" s="22" t="str">
        <f aca="false">IF($B557="","",$B557+10)</f>
        <v/>
      </c>
      <c r="R557" s="20"/>
      <c r="S557" s="23" t="str">
        <f aca="true">IF($B557="","",IF(AND($N557="Y",$P557="Y",$R557="Y"),"Done",IF(OR(AND($M557&lt;=TODAY(),$N557&lt;&gt;"Y"),AND($O557&lt;=TODAY(),$P557&lt;&gt;"Y"),AND($Q557&lt;=TODAY(),$R557&lt;&gt;"Y")),"DUE","Scheduled")))</f>
        <v/>
      </c>
      <c r="T557" s="20"/>
      <c r="U557" s="23" t="str">
        <f aca="false">IF($B557="","",IF(OR($T557&lt;=2,$I557="Editorial"),"REDO",""))</f>
        <v/>
      </c>
      <c r="V557" s="18" t="str">
        <f aca="false">IF($S557&lt;&gt;"DUE","",COUNTIF($S$3:$S557,"DUE"))</f>
        <v/>
      </c>
    </row>
    <row r="558" customFormat="false" ht="15" hidden="false" customHeight="false" outlineLevel="0" collapsed="false">
      <c r="A558" s="12" t="str">
        <f aca="false">IF($F558="","",ROW()-2)</f>
        <v/>
      </c>
      <c r="B558" s="19"/>
      <c r="C558" s="20"/>
      <c r="D558" s="21"/>
      <c r="E558" s="21"/>
      <c r="F558" s="21"/>
      <c r="G558" s="20"/>
      <c r="H558" s="21"/>
      <c r="I558" s="20"/>
      <c r="J558" s="20"/>
      <c r="K558" s="21"/>
      <c r="L558" s="21"/>
      <c r="M558" s="22" t="str">
        <f aca="false">IF($B558="","",$B558+2)</f>
        <v/>
      </c>
      <c r="N558" s="20"/>
      <c r="O558" s="22" t="str">
        <f aca="false">IF($B558="","",$B558+5)</f>
        <v/>
      </c>
      <c r="P558" s="20"/>
      <c r="Q558" s="22" t="str">
        <f aca="false">IF($B558="","",$B558+10)</f>
        <v/>
      </c>
      <c r="R558" s="20"/>
      <c r="S558" s="23" t="str">
        <f aca="true">IF($B558="","",IF(AND($N558="Y",$P558="Y",$R558="Y"),"Done",IF(OR(AND($M558&lt;=TODAY(),$N558&lt;&gt;"Y"),AND($O558&lt;=TODAY(),$P558&lt;&gt;"Y"),AND($Q558&lt;=TODAY(),$R558&lt;&gt;"Y")),"DUE","Scheduled")))</f>
        <v/>
      </c>
      <c r="T558" s="20"/>
      <c r="U558" s="23" t="str">
        <f aca="false">IF($B558="","",IF(OR($T558&lt;=2,$I558="Editorial"),"REDO",""))</f>
        <v/>
      </c>
      <c r="V558" s="18" t="str">
        <f aca="false">IF($S558&lt;&gt;"DUE","",COUNTIF($S$3:$S558,"DUE"))</f>
        <v/>
      </c>
    </row>
    <row r="559" customFormat="false" ht="15" hidden="false" customHeight="false" outlineLevel="0" collapsed="false">
      <c r="A559" s="12" t="str">
        <f aca="false">IF($F559="","",ROW()-2)</f>
        <v/>
      </c>
      <c r="B559" s="19"/>
      <c r="C559" s="20"/>
      <c r="D559" s="21"/>
      <c r="E559" s="21"/>
      <c r="F559" s="21"/>
      <c r="G559" s="20"/>
      <c r="H559" s="21"/>
      <c r="I559" s="20"/>
      <c r="J559" s="20"/>
      <c r="K559" s="21"/>
      <c r="L559" s="21"/>
      <c r="M559" s="22" t="str">
        <f aca="false">IF($B559="","",$B559+2)</f>
        <v/>
      </c>
      <c r="N559" s="20"/>
      <c r="O559" s="22" t="str">
        <f aca="false">IF($B559="","",$B559+5)</f>
        <v/>
      </c>
      <c r="P559" s="20"/>
      <c r="Q559" s="22" t="str">
        <f aca="false">IF($B559="","",$B559+10)</f>
        <v/>
      </c>
      <c r="R559" s="20"/>
      <c r="S559" s="23" t="str">
        <f aca="true">IF($B559="","",IF(AND($N559="Y",$P559="Y",$R559="Y"),"Done",IF(OR(AND($M559&lt;=TODAY(),$N559&lt;&gt;"Y"),AND($O559&lt;=TODAY(),$P559&lt;&gt;"Y"),AND($Q559&lt;=TODAY(),$R559&lt;&gt;"Y")),"DUE","Scheduled")))</f>
        <v/>
      </c>
      <c r="T559" s="20"/>
      <c r="U559" s="23" t="str">
        <f aca="false">IF($B559="","",IF(OR($T559&lt;=2,$I559="Editorial"),"REDO",""))</f>
        <v/>
      </c>
      <c r="V559" s="18" t="str">
        <f aca="false">IF($S559&lt;&gt;"DUE","",COUNTIF($S$3:$S559,"DUE"))</f>
        <v/>
      </c>
    </row>
    <row r="560" customFormat="false" ht="15" hidden="false" customHeight="false" outlineLevel="0" collapsed="false">
      <c r="A560" s="12" t="str">
        <f aca="false">IF($F560="","",ROW()-2)</f>
        <v/>
      </c>
      <c r="B560" s="19"/>
      <c r="C560" s="20"/>
      <c r="D560" s="21"/>
      <c r="E560" s="21"/>
      <c r="F560" s="21"/>
      <c r="G560" s="20"/>
      <c r="H560" s="21"/>
      <c r="I560" s="20"/>
      <c r="J560" s="20"/>
      <c r="K560" s="21"/>
      <c r="L560" s="21"/>
      <c r="M560" s="22" t="str">
        <f aca="false">IF($B560="","",$B560+2)</f>
        <v/>
      </c>
      <c r="N560" s="20"/>
      <c r="O560" s="22" t="str">
        <f aca="false">IF($B560="","",$B560+5)</f>
        <v/>
      </c>
      <c r="P560" s="20"/>
      <c r="Q560" s="22" t="str">
        <f aca="false">IF($B560="","",$B560+10)</f>
        <v/>
      </c>
      <c r="R560" s="20"/>
      <c r="S560" s="23" t="str">
        <f aca="true">IF($B560="","",IF(AND($N560="Y",$P560="Y",$R560="Y"),"Done",IF(OR(AND($M560&lt;=TODAY(),$N560&lt;&gt;"Y"),AND($O560&lt;=TODAY(),$P560&lt;&gt;"Y"),AND($Q560&lt;=TODAY(),$R560&lt;&gt;"Y")),"DUE","Scheduled")))</f>
        <v/>
      </c>
      <c r="T560" s="20"/>
      <c r="U560" s="23" t="str">
        <f aca="false">IF($B560="","",IF(OR($T560&lt;=2,$I560="Editorial"),"REDO",""))</f>
        <v/>
      </c>
      <c r="V560" s="18" t="str">
        <f aca="false">IF($S560&lt;&gt;"DUE","",COUNTIF($S$3:$S560,"DUE"))</f>
        <v/>
      </c>
    </row>
    <row r="561" customFormat="false" ht="15" hidden="false" customHeight="false" outlineLevel="0" collapsed="false">
      <c r="A561" s="12" t="str">
        <f aca="false">IF($F561="","",ROW()-2)</f>
        <v/>
      </c>
      <c r="B561" s="19"/>
      <c r="C561" s="20"/>
      <c r="D561" s="21"/>
      <c r="E561" s="21"/>
      <c r="F561" s="21"/>
      <c r="G561" s="20"/>
      <c r="H561" s="21"/>
      <c r="I561" s="20"/>
      <c r="J561" s="20"/>
      <c r="K561" s="21"/>
      <c r="L561" s="21"/>
      <c r="M561" s="22" t="str">
        <f aca="false">IF($B561="","",$B561+2)</f>
        <v/>
      </c>
      <c r="N561" s="20"/>
      <c r="O561" s="22" t="str">
        <f aca="false">IF($B561="","",$B561+5)</f>
        <v/>
      </c>
      <c r="P561" s="20"/>
      <c r="Q561" s="22" t="str">
        <f aca="false">IF($B561="","",$B561+10)</f>
        <v/>
      </c>
      <c r="R561" s="20"/>
      <c r="S561" s="23" t="str">
        <f aca="true">IF($B561="","",IF(AND($N561="Y",$P561="Y",$R561="Y"),"Done",IF(OR(AND($M561&lt;=TODAY(),$N561&lt;&gt;"Y"),AND($O561&lt;=TODAY(),$P561&lt;&gt;"Y"),AND($Q561&lt;=TODAY(),$R561&lt;&gt;"Y")),"DUE","Scheduled")))</f>
        <v/>
      </c>
      <c r="T561" s="20"/>
      <c r="U561" s="23" t="str">
        <f aca="false">IF($B561="","",IF(OR($T561&lt;=2,$I561="Editorial"),"REDO",""))</f>
        <v/>
      </c>
      <c r="V561" s="18" t="str">
        <f aca="false">IF($S561&lt;&gt;"DUE","",COUNTIF($S$3:$S561,"DUE"))</f>
        <v/>
      </c>
    </row>
    <row r="562" customFormat="false" ht="15" hidden="false" customHeight="false" outlineLevel="0" collapsed="false">
      <c r="A562" s="12" t="str">
        <f aca="false">IF($F562="","",ROW()-2)</f>
        <v/>
      </c>
      <c r="B562" s="19"/>
      <c r="C562" s="20"/>
      <c r="D562" s="21"/>
      <c r="E562" s="21"/>
      <c r="F562" s="21"/>
      <c r="G562" s="20"/>
      <c r="H562" s="21"/>
      <c r="I562" s="20"/>
      <c r="J562" s="20"/>
      <c r="K562" s="21"/>
      <c r="L562" s="21"/>
      <c r="M562" s="22" t="str">
        <f aca="false">IF($B562="","",$B562+2)</f>
        <v/>
      </c>
      <c r="N562" s="20"/>
      <c r="O562" s="22" t="str">
        <f aca="false">IF($B562="","",$B562+5)</f>
        <v/>
      </c>
      <c r="P562" s="20"/>
      <c r="Q562" s="22" t="str">
        <f aca="false">IF($B562="","",$B562+10)</f>
        <v/>
      </c>
      <c r="R562" s="20"/>
      <c r="S562" s="23" t="str">
        <f aca="true">IF($B562="","",IF(AND($N562="Y",$P562="Y",$R562="Y"),"Done",IF(OR(AND($M562&lt;=TODAY(),$N562&lt;&gt;"Y"),AND($O562&lt;=TODAY(),$P562&lt;&gt;"Y"),AND($Q562&lt;=TODAY(),$R562&lt;&gt;"Y")),"DUE","Scheduled")))</f>
        <v/>
      </c>
      <c r="T562" s="20"/>
      <c r="U562" s="23" t="str">
        <f aca="false">IF($B562="","",IF(OR($T562&lt;=2,$I562="Editorial"),"REDO",""))</f>
        <v/>
      </c>
      <c r="V562" s="18" t="str">
        <f aca="false">IF($S562&lt;&gt;"DUE","",COUNTIF($S$3:$S562,"DUE"))</f>
        <v/>
      </c>
    </row>
    <row r="563" customFormat="false" ht="15" hidden="false" customHeight="false" outlineLevel="0" collapsed="false">
      <c r="A563" s="12" t="str">
        <f aca="false">IF($F563="","",ROW()-2)</f>
        <v/>
      </c>
      <c r="B563" s="19"/>
      <c r="C563" s="20"/>
      <c r="D563" s="21"/>
      <c r="E563" s="21"/>
      <c r="F563" s="21"/>
      <c r="G563" s="20"/>
      <c r="H563" s="21"/>
      <c r="I563" s="20"/>
      <c r="J563" s="20"/>
      <c r="K563" s="21"/>
      <c r="L563" s="21"/>
      <c r="M563" s="22" t="str">
        <f aca="false">IF($B563="","",$B563+2)</f>
        <v/>
      </c>
      <c r="N563" s="20"/>
      <c r="O563" s="22" t="str">
        <f aca="false">IF($B563="","",$B563+5)</f>
        <v/>
      </c>
      <c r="P563" s="20"/>
      <c r="Q563" s="22" t="str">
        <f aca="false">IF($B563="","",$B563+10)</f>
        <v/>
      </c>
      <c r="R563" s="20"/>
      <c r="S563" s="23" t="str">
        <f aca="true">IF($B563="","",IF(AND($N563="Y",$P563="Y",$R563="Y"),"Done",IF(OR(AND($M563&lt;=TODAY(),$N563&lt;&gt;"Y"),AND($O563&lt;=TODAY(),$P563&lt;&gt;"Y"),AND($Q563&lt;=TODAY(),$R563&lt;&gt;"Y")),"DUE","Scheduled")))</f>
        <v/>
      </c>
      <c r="T563" s="20"/>
      <c r="U563" s="23" t="str">
        <f aca="false">IF($B563="","",IF(OR($T563&lt;=2,$I563="Editorial"),"REDO",""))</f>
        <v/>
      </c>
      <c r="V563" s="18" t="str">
        <f aca="false">IF($S563&lt;&gt;"DUE","",COUNTIF($S$3:$S563,"DUE"))</f>
        <v/>
      </c>
    </row>
    <row r="564" customFormat="false" ht="15" hidden="false" customHeight="false" outlineLevel="0" collapsed="false">
      <c r="A564" s="12" t="str">
        <f aca="false">IF($F564="","",ROW()-2)</f>
        <v/>
      </c>
      <c r="B564" s="19"/>
      <c r="C564" s="20"/>
      <c r="D564" s="21"/>
      <c r="E564" s="21"/>
      <c r="F564" s="21"/>
      <c r="G564" s="20"/>
      <c r="H564" s="21"/>
      <c r="I564" s="20"/>
      <c r="J564" s="20"/>
      <c r="K564" s="21"/>
      <c r="L564" s="21"/>
      <c r="M564" s="22" t="str">
        <f aca="false">IF($B564="","",$B564+2)</f>
        <v/>
      </c>
      <c r="N564" s="20"/>
      <c r="O564" s="22" t="str">
        <f aca="false">IF($B564="","",$B564+5)</f>
        <v/>
      </c>
      <c r="P564" s="20"/>
      <c r="Q564" s="22" t="str">
        <f aca="false">IF($B564="","",$B564+10)</f>
        <v/>
      </c>
      <c r="R564" s="20"/>
      <c r="S564" s="23" t="str">
        <f aca="true">IF($B564="","",IF(AND($N564="Y",$P564="Y",$R564="Y"),"Done",IF(OR(AND($M564&lt;=TODAY(),$N564&lt;&gt;"Y"),AND($O564&lt;=TODAY(),$P564&lt;&gt;"Y"),AND($Q564&lt;=TODAY(),$R564&lt;&gt;"Y")),"DUE","Scheduled")))</f>
        <v/>
      </c>
      <c r="T564" s="20"/>
      <c r="U564" s="23" t="str">
        <f aca="false">IF($B564="","",IF(OR($T564&lt;=2,$I564="Editorial"),"REDO",""))</f>
        <v/>
      </c>
      <c r="V564" s="18" t="str">
        <f aca="false">IF($S564&lt;&gt;"DUE","",COUNTIF($S$3:$S564,"DUE"))</f>
        <v/>
      </c>
    </row>
    <row r="565" customFormat="false" ht="15" hidden="false" customHeight="false" outlineLevel="0" collapsed="false">
      <c r="A565" s="12" t="str">
        <f aca="false">IF($F565="","",ROW()-2)</f>
        <v/>
      </c>
      <c r="B565" s="19"/>
      <c r="C565" s="20"/>
      <c r="D565" s="21"/>
      <c r="E565" s="21"/>
      <c r="F565" s="21"/>
      <c r="G565" s="20"/>
      <c r="H565" s="21"/>
      <c r="I565" s="20"/>
      <c r="J565" s="20"/>
      <c r="K565" s="21"/>
      <c r="L565" s="21"/>
      <c r="M565" s="22" t="str">
        <f aca="false">IF($B565="","",$B565+2)</f>
        <v/>
      </c>
      <c r="N565" s="20"/>
      <c r="O565" s="22" t="str">
        <f aca="false">IF($B565="","",$B565+5)</f>
        <v/>
      </c>
      <c r="P565" s="20"/>
      <c r="Q565" s="22" t="str">
        <f aca="false">IF($B565="","",$B565+10)</f>
        <v/>
      </c>
      <c r="R565" s="20"/>
      <c r="S565" s="23" t="str">
        <f aca="true">IF($B565="","",IF(AND($N565="Y",$P565="Y",$R565="Y"),"Done",IF(OR(AND($M565&lt;=TODAY(),$N565&lt;&gt;"Y"),AND($O565&lt;=TODAY(),$P565&lt;&gt;"Y"),AND($Q565&lt;=TODAY(),$R565&lt;&gt;"Y")),"DUE","Scheduled")))</f>
        <v/>
      </c>
      <c r="T565" s="20"/>
      <c r="U565" s="23" t="str">
        <f aca="false">IF($B565="","",IF(OR($T565&lt;=2,$I565="Editorial"),"REDO",""))</f>
        <v/>
      </c>
      <c r="V565" s="18" t="str">
        <f aca="false">IF($S565&lt;&gt;"DUE","",COUNTIF($S$3:$S565,"DUE"))</f>
        <v/>
      </c>
    </row>
    <row r="566" customFormat="false" ht="15" hidden="false" customHeight="false" outlineLevel="0" collapsed="false">
      <c r="A566" s="12" t="str">
        <f aca="false">IF($F566="","",ROW()-2)</f>
        <v/>
      </c>
      <c r="B566" s="19"/>
      <c r="C566" s="20"/>
      <c r="D566" s="21"/>
      <c r="E566" s="21"/>
      <c r="F566" s="21"/>
      <c r="G566" s="20"/>
      <c r="H566" s="21"/>
      <c r="I566" s="20"/>
      <c r="J566" s="20"/>
      <c r="K566" s="21"/>
      <c r="L566" s="21"/>
      <c r="M566" s="22" t="str">
        <f aca="false">IF($B566="","",$B566+2)</f>
        <v/>
      </c>
      <c r="N566" s="20"/>
      <c r="O566" s="22" t="str">
        <f aca="false">IF($B566="","",$B566+5)</f>
        <v/>
      </c>
      <c r="P566" s="20"/>
      <c r="Q566" s="22" t="str">
        <f aca="false">IF($B566="","",$B566+10)</f>
        <v/>
      </c>
      <c r="R566" s="20"/>
      <c r="S566" s="23" t="str">
        <f aca="true">IF($B566="","",IF(AND($N566="Y",$P566="Y",$R566="Y"),"Done",IF(OR(AND($M566&lt;=TODAY(),$N566&lt;&gt;"Y"),AND($O566&lt;=TODAY(),$P566&lt;&gt;"Y"),AND($Q566&lt;=TODAY(),$R566&lt;&gt;"Y")),"DUE","Scheduled")))</f>
        <v/>
      </c>
      <c r="T566" s="20"/>
      <c r="U566" s="23" t="str">
        <f aca="false">IF($B566="","",IF(OR($T566&lt;=2,$I566="Editorial"),"REDO",""))</f>
        <v/>
      </c>
      <c r="V566" s="18" t="str">
        <f aca="false">IF($S566&lt;&gt;"DUE","",COUNTIF($S$3:$S566,"DUE"))</f>
        <v/>
      </c>
    </row>
    <row r="567" customFormat="false" ht="15" hidden="false" customHeight="false" outlineLevel="0" collapsed="false">
      <c r="A567" s="12" t="str">
        <f aca="false">IF($F567="","",ROW()-2)</f>
        <v/>
      </c>
      <c r="B567" s="19"/>
      <c r="C567" s="20"/>
      <c r="D567" s="21"/>
      <c r="E567" s="21"/>
      <c r="F567" s="21"/>
      <c r="G567" s="20"/>
      <c r="H567" s="21"/>
      <c r="I567" s="20"/>
      <c r="J567" s="20"/>
      <c r="K567" s="21"/>
      <c r="L567" s="21"/>
      <c r="M567" s="22" t="str">
        <f aca="false">IF($B567="","",$B567+2)</f>
        <v/>
      </c>
      <c r="N567" s="20"/>
      <c r="O567" s="22" t="str">
        <f aca="false">IF($B567="","",$B567+5)</f>
        <v/>
      </c>
      <c r="P567" s="20"/>
      <c r="Q567" s="22" t="str">
        <f aca="false">IF($B567="","",$B567+10)</f>
        <v/>
      </c>
      <c r="R567" s="20"/>
      <c r="S567" s="23" t="str">
        <f aca="true">IF($B567="","",IF(AND($N567="Y",$P567="Y",$R567="Y"),"Done",IF(OR(AND($M567&lt;=TODAY(),$N567&lt;&gt;"Y"),AND($O567&lt;=TODAY(),$P567&lt;&gt;"Y"),AND($Q567&lt;=TODAY(),$R567&lt;&gt;"Y")),"DUE","Scheduled")))</f>
        <v/>
      </c>
      <c r="T567" s="20"/>
      <c r="U567" s="23" t="str">
        <f aca="false">IF($B567="","",IF(OR($T567&lt;=2,$I567="Editorial"),"REDO",""))</f>
        <v/>
      </c>
      <c r="V567" s="18" t="str">
        <f aca="false">IF($S567&lt;&gt;"DUE","",COUNTIF($S$3:$S567,"DUE"))</f>
        <v/>
      </c>
    </row>
    <row r="568" customFormat="false" ht="15" hidden="false" customHeight="false" outlineLevel="0" collapsed="false">
      <c r="A568" s="12" t="str">
        <f aca="false">IF($F568="","",ROW()-2)</f>
        <v/>
      </c>
      <c r="B568" s="19"/>
      <c r="C568" s="20"/>
      <c r="D568" s="21"/>
      <c r="E568" s="21"/>
      <c r="F568" s="21"/>
      <c r="G568" s="20"/>
      <c r="H568" s="21"/>
      <c r="I568" s="20"/>
      <c r="J568" s="20"/>
      <c r="K568" s="21"/>
      <c r="L568" s="21"/>
      <c r="M568" s="22" t="str">
        <f aca="false">IF($B568="","",$B568+2)</f>
        <v/>
      </c>
      <c r="N568" s="20"/>
      <c r="O568" s="22" t="str">
        <f aca="false">IF($B568="","",$B568+5)</f>
        <v/>
      </c>
      <c r="P568" s="20"/>
      <c r="Q568" s="22" t="str">
        <f aca="false">IF($B568="","",$B568+10)</f>
        <v/>
      </c>
      <c r="R568" s="20"/>
      <c r="S568" s="23" t="str">
        <f aca="true">IF($B568="","",IF(AND($N568="Y",$P568="Y",$R568="Y"),"Done",IF(OR(AND($M568&lt;=TODAY(),$N568&lt;&gt;"Y"),AND($O568&lt;=TODAY(),$P568&lt;&gt;"Y"),AND($Q568&lt;=TODAY(),$R568&lt;&gt;"Y")),"DUE","Scheduled")))</f>
        <v/>
      </c>
      <c r="T568" s="20"/>
      <c r="U568" s="23" t="str">
        <f aca="false">IF($B568="","",IF(OR($T568&lt;=2,$I568="Editorial"),"REDO",""))</f>
        <v/>
      </c>
      <c r="V568" s="18" t="str">
        <f aca="false">IF($S568&lt;&gt;"DUE","",COUNTIF($S$3:$S568,"DUE"))</f>
        <v/>
      </c>
    </row>
    <row r="569" customFormat="false" ht="15" hidden="false" customHeight="false" outlineLevel="0" collapsed="false">
      <c r="A569" s="12" t="str">
        <f aca="false">IF($F569="","",ROW()-2)</f>
        <v/>
      </c>
      <c r="B569" s="19"/>
      <c r="C569" s="20"/>
      <c r="D569" s="21"/>
      <c r="E569" s="21"/>
      <c r="F569" s="21"/>
      <c r="G569" s="20"/>
      <c r="H569" s="21"/>
      <c r="I569" s="20"/>
      <c r="J569" s="20"/>
      <c r="K569" s="21"/>
      <c r="L569" s="21"/>
      <c r="M569" s="22" t="str">
        <f aca="false">IF($B569="","",$B569+2)</f>
        <v/>
      </c>
      <c r="N569" s="20"/>
      <c r="O569" s="22" t="str">
        <f aca="false">IF($B569="","",$B569+5)</f>
        <v/>
      </c>
      <c r="P569" s="20"/>
      <c r="Q569" s="22" t="str">
        <f aca="false">IF($B569="","",$B569+10)</f>
        <v/>
      </c>
      <c r="R569" s="20"/>
      <c r="S569" s="23" t="str">
        <f aca="true">IF($B569="","",IF(AND($N569="Y",$P569="Y",$R569="Y"),"Done",IF(OR(AND($M569&lt;=TODAY(),$N569&lt;&gt;"Y"),AND($O569&lt;=TODAY(),$P569&lt;&gt;"Y"),AND($Q569&lt;=TODAY(),$R569&lt;&gt;"Y")),"DUE","Scheduled")))</f>
        <v/>
      </c>
      <c r="T569" s="20"/>
      <c r="U569" s="23" t="str">
        <f aca="false">IF($B569="","",IF(OR($T569&lt;=2,$I569="Editorial"),"REDO",""))</f>
        <v/>
      </c>
      <c r="V569" s="18" t="str">
        <f aca="false">IF($S569&lt;&gt;"DUE","",COUNTIF($S$3:$S569,"DUE"))</f>
        <v/>
      </c>
    </row>
    <row r="570" customFormat="false" ht="15" hidden="false" customHeight="false" outlineLevel="0" collapsed="false">
      <c r="A570" s="12" t="str">
        <f aca="false">IF($F570="","",ROW()-2)</f>
        <v/>
      </c>
      <c r="B570" s="19"/>
      <c r="C570" s="20"/>
      <c r="D570" s="21"/>
      <c r="E570" s="21"/>
      <c r="F570" s="21"/>
      <c r="G570" s="20"/>
      <c r="H570" s="21"/>
      <c r="I570" s="20"/>
      <c r="J570" s="20"/>
      <c r="K570" s="21"/>
      <c r="L570" s="21"/>
      <c r="M570" s="22" t="str">
        <f aca="false">IF($B570="","",$B570+2)</f>
        <v/>
      </c>
      <c r="N570" s="20"/>
      <c r="O570" s="22" t="str">
        <f aca="false">IF($B570="","",$B570+5)</f>
        <v/>
      </c>
      <c r="P570" s="20"/>
      <c r="Q570" s="22" t="str">
        <f aca="false">IF($B570="","",$B570+10)</f>
        <v/>
      </c>
      <c r="R570" s="20"/>
      <c r="S570" s="23" t="str">
        <f aca="true">IF($B570="","",IF(AND($N570="Y",$P570="Y",$R570="Y"),"Done",IF(OR(AND($M570&lt;=TODAY(),$N570&lt;&gt;"Y"),AND($O570&lt;=TODAY(),$P570&lt;&gt;"Y"),AND($Q570&lt;=TODAY(),$R570&lt;&gt;"Y")),"DUE","Scheduled")))</f>
        <v/>
      </c>
      <c r="T570" s="20"/>
      <c r="U570" s="23" t="str">
        <f aca="false">IF($B570="","",IF(OR($T570&lt;=2,$I570="Editorial"),"REDO",""))</f>
        <v/>
      </c>
      <c r="V570" s="18" t="str">
        <f aca="false">IF($S570&lt;&gt;"DUE","",COUNTIF($S$3:$S570,"DUE"))</f>
        <v/>
      </c>
    </row>
    <row r="571" customFormat="false" ht="15" hidden="false" customHeight="false" outlineLevel="0" collapsed="false">
      <c r="A571" s="12" t="str">
        <f aca="false">IF($F571="","",ROW()-2)</f>
        <v/>
      </c>
      <c r="B571" s="19"/>
      <c r="C571" s="20"/>
      <c r="D571" s="21"/>
      <c r="E571" s="21"/>
      <c r="F571" s="21"/>
      <c r="G571" s="20"/>
      <c r="H571" s="21"/>
      <c r="I571" s="20"/>
      <c r="J571" s="20"/>
      <c r="K571" s="21"/>
      <c r="L571" s="21"/>
      <c r="M571" s="22" t="str">
        <f aca="false">IF($B571="","",$B571+2)</f>
        <v/>
      </c>
      <c r="N571" s="20"/>
      <c r="O571" s="22" t="str">
        <f aca="false">IF($B571="","",$B571+5)</f>
        <v/>
      </c>
      <c r="P571" s="20"/>
      <c r="Q571" s="22" t="str">
        <f aca="false">IF($B571="","",$B571+10)</f>
        <v/>
      </c>
      <c r="R571" s="20"/>
      <c r="S571" s="23" t="str">
        <f aca="true">IF($B571="","",IF(AND($N571="Y",$P571="Y",$R571="Y"),"Done",IF(OR(AND($M571&lt;=TODAY(),$N571&lt;&gt;"Y"),AND($O571&lt;=TODAY(),$P571&lt;&gt;"Y"),AND($Q571&lt;=TODAY(),$R571&lt;&gt;"Y")),"DUE","Scheduled")))</f>
        <v/>
      </c>
      <c r="T571" s="20"/>
      <c r="U571" s="23" t="str">
        <f aca="false">IF($B571="","",IF(OR($T571&lt;=2,$I571="Editorial"),"REDO",""))</f>
        <v/>
      </c>
      <c r="V571" s="18" t="str">
        <f aca="false">IF($S571&lt;&gt;"DUE","",COUNTIF($S$3:$S571,"DUE"))</f>
        <v/>
      </c>
    </row>
    <row r="572" customFormat="false" ht="15" hidden="false" customHeight="false" outlineLevel="0" collapsed="false">
      <c r="A572" s="12" t="str">
        <f aca="false">IF($F572="","",ROW()-2)</f>
        <v/>
      </c>
      <c r="B572" s="19"/>
      <c r="C572" s="20"/>
      <c r="D572" s="21"/>
      <c r="E572" s="21"/>
      <c r="F572" s="21"/>
      <c r="G572" s="20"/>
      <c r="H572" s="21"/>
      <c r="I572" s="20"/>
      <c r="J572" s="20"/>
      <c r="K572" s="21"/>
      <c r="L572" s="21"/>
      <c r="M572" s="22" t="str">
        <f aca="false">IF($B572="","",$B572+2)</f>
        <v/>
      </c>
      <c r="N572" s="20"/>
      <c r="O572" s="22" t="str">
        <f aca="false">IF($B572="","",$B572+5)</f>
        <v/>
      </c>
      <c r="P572" s="20"/>
      <c r="Q572" s="22" t="str">
        <f aca="false">IF($B572="","",$B572+10)</f>
        <v/>
      </c>
      <c r="R572" s="20"/>
      <c r="S572" s="23" t="str">
        <f aca="true">IF($B572="","",IF(AND($N572="Y",$P572="Y",$R572="Y"),"Done",IF(OR(AND($M572&lt;=TODAY(),$N572&lt;&gt;"Y"),AND($O572&lt;=TODAY(),$P572&lt;&gt;"Y"),AND($Q572&lt;=TODAY(),$R572&lt;&gt;"Y")),"DUE","Scheduled")))</f>
        <v/>
      </c>
      <c r="T572" s="20"/>
      <c r="U572" s="23" t="str">
        <f aca="false">IF($B572="","",IF(OR($T572&lt;=2,$I572="Editorial"),"REDO",""))</f>
        <v/>
      </c>
      <c r="V572" s="18" t="str">
        <f aca="false">IF($S572&lt;&gt;"DUE","",COUNTIF($S$3:$S572,"DUE"))</f>
        <v/>
      </c>
    </row>
    <row r="573" customFormat="false" ht="15" hidden="false" customHeight="false" outlineLevel="0" collapsed="false">
      <c r="A573" s="12" t="str">
        <f aca="false">IF($F573="","",ROW()-2)</f>
        <v/>
      </c>
      <c r="B573" s="19"/>
      <c r="C573" s="20"/>
      <c r="D573" s="21"/>
      <c r="E573" s="21"/>
      <c r="F573" s="21"/>
      <c r="G573" s="20"/>
      <c r="H573" s="21"/>
      <c r="I573" s="20"/>
      <c r="J573" s="20"/>
      <c r="K573" s="21"/>
      <c r="L573" s="21"/>
      <c r="M573" s="22" t="str">
        <f aca="false">IF($B573="","",$B573+2)</f>
        <v/>
      </c>
      <c r="N573" s="20"/>
      <c r="O573" s="22" t="str">
        <f aca="false">IF($B573="","",$B573+5)</f>
        <v/>
      </c>
      <c r="P573" s="20"/>
      <c r="Q573" s="22" t="str">
        <f aca="false">IF($B573="","",$B573+10)</f>
        <v/>
      </c>
      <c r="R573" s="20"/>
      <c r="S573" s="23" t="str">
        <f aca="true">IF($B573="","",IF(AND($N573="Y",$P573="Y",$R573="Y"),"Done",IF(OR(AND($M573&lt;=TODAY(),$N573&lt;&gt;"Y"),AND($O573&lt;=TODAY(),$P573&lt;&gt;"Y"),AND($Q573&lt;=TODAY(),$R573&lt;&gt;"Y")),"DUE","Scheduled")))</f>
        <v/>
      </c>
      <c r="T573" s="20"/>
      <c r="U573" s="23" t="str">
        <f aca="false">IF($B573="","",IF(OR($T573&lt;=2,$I573="Editorial"),"REDO",""))</f>
        <v/>
      </c>
      <c r="V573" s="18" t="str">
        <f aca="false">IF($S573&lt;&gt;"DUE","",COUNTIF($S$3:$S573,"DUE"))</f>
        <v/>
      </c>
    </row>
    <row r="574" customFormat="false" ht="15" hidden="false" customHeight="false" outlineLevel="0" collapsed="false">
      <c r="A574" s="12" t="str">
        <f aca="false">IF($F574="","",ROW()-2)</f>
        <v/>
      </c>
      <c r="B574" s="19"/>
      <c r="C574" s="20"/>
      <c r="D574" s="21"/>
      <c r="E574" s="21"/>
      <c r="F574" s="21"/>
      <c r="G574" s="20"/>
      <c r="H574" s="21"/>
      <c r="I574" s="20"/>
      <c r="J574" s="20"/>
      <c r="K574" s="21"/>
      <c r="L574" s="21"/>
      <c r="M574" s="22" t="str">
        <f aca="false">IF($B574="","",$B574+2)</f>
        <v/>
      </c>
      <c r="N574" s="20"/>
      <c r="O574" s="22" t="str">
        <f aca="false">IF($B574="","",$B574+5)</f>
        <v/>
      </c>
      <c r="P574" s="20"/>
      <c r="Q574" s="22" t="str">
        <f aca="false">IF($B574="","",$B574+10)</f>
        <v/>
      </c>
      <c r="R574" s="20"/>
      <c r="S574" s="23" t="str">
        <f aca="true">IF($B574="","",IF(AND($N574="Y",$P574="Y",$R574="Y"),"Done",IF(OR(AND($M574&lt;=TODAY(),$N574&lt;&gt;"Y"),AND($O574&lt;=TODAY(),$P574&lt;&gt;"Y"),AND($Q574&lt;=TODAY(),$R574&lt;&gt;"Y")),"DUE","Scheduled")))</f>
        <v/>
      </c>
      <c r="T574" s="20"/>
      <c r="U574" s="23" t="str">
        <f aca="false">IF($B574="","",IF(OR($T574&lt;=2,$I574="Editorial"),"REDO",""))</f>
        <v/>
      </c>
      <c r="V574" s="18" t="str">
        <f aca="false">IF($S574&lt;&gt;"DUE","",COUNTIF($S$3:$S574,"DUE"))</f>
        <v/>
      </c>
    </row>
    <row r="575" customFormat="false" ht="15" hidden="false" customHeight="false" outlineLevel="0" collapsed="false">
      <c r="A575" s="12" t="str">
        <f aca="false">IF($F575="","",ROW()-2)</f>
        <v/>
      </c>
      <c r="B575" s="19"/>
      <c r="C575" s="20"/>
      <c r="D575" s="21"/>
      <c r="E575" s="21"/>
      <c r="F575" s="21"/>
      <c r="G575" s="20"/>
      <c r="H575" s="21"/>
      <c r="I575" s="20"/>
      <c r="J575" s="20"/>
      <c r="K575" s="21"/>
      <c r="L575" s="21"/>
      <c r="M575" s="22" t="str">
        <f aca="false">IF($B575="","",$B575+2)</f>
        <v/>
      </c>
      <c r="N575" s="20"/>
      <c r="O575" s="22" t="str">
        <f aca="false">IF($B575="","",$B575+5)</f>
        <v/>
      </c>
      <c r="P575" s="20"/>
      <c r="Q575" s="22" t="str">
        <f aca="false">IF($B575="","",$B575+10)</f>
        <v/>
      </c>
      <c r="R575" s="20"/>
      <c r="S575" s="23" t="str">
        <f aca="true">IF($B575="","",IF(AND($N575="Y",$P575="Y",$R575="Y"),"Done",IF(OR(AND($M575&lt;=TODAY(),$N575&lt;&gt;"Y"),AND($O575&lt;=TODAY(),$P575&lt;&gt;"Y"),AND($Q575&lt;=TODAY(),$R575&lt;&gt;"Y")),"DUE","Scheduled")))</f>
        <v/>
      </c>
      <c r="T575" s="20"/>
      <c r="U575" s="23" t="str">
        <f aca="false">IF($B575="","",IF(OR($T575&lt;=2,$I575="Editorial"),"REDO",""))</f>
        <v/>
      </c>
      <c r="V575" s="18" t="str">
        <f aca="false">IF($S575&lt;&gt;"DUE","",COUNTIF($S$3:$S575,"DUE"))</f>
        <v/>
      </c>
    </row>
    <row r="576" customFormat="false" ht="15" hidden="false" customHeight="false" outlineLevel="0" collapsed="false">
      <c r="A576" s="12" t="str">
        <f aca="false">IF($F576="","",ROW()-2)</f>
        <v/>
      </c>
      <c r="B576" s="19"/>
      <c r="C576" s="20"/>
      <c r="D576" s="21"/>
      <c r="E576" s="21"/>
      <c r="F576" s="21"/>
      <c r="G576" s="20"/>
      <c r="H576" s="21"/>
      <c r="I576" s="20"/>
      <c r="J576" s="20"/>
      <c r="K576" s="21"/>
      <c r="L576" s="21"/>
      <c r="M576" s="22" t="str">
        <f aca="false">IF($B576="","",$B576+2)</f>
        <v/>
      </c>
      <c r="N576" s="20"/>
      <c r="O576" s="22" t="str">
        <f aca="false">IF($B576="","",$B576+5)</f>
        <v/>
      </c>
      <c r="P576" s="20"/>
      <c r="Q576" s="22" t="str">
        <f aca="false">IF($B576="","",$B576+10)</f>
        <v/>
      </c>
      <c r="R576" s="20"/>
      <c r="S576" s="23" t="str">
        <f aca="true">IF($B576="","",IF(AND($N576="Y",$P576="Y",$R576="Y"),"Done",IF(OR(AND($M576&lt;=TODAY(),$N576&lt;&gt;"Y"),AND($O576&lt;=TODAY(),$P576&lt;&gt;"Y"),AND($Q576&lt;=TODAY(),$R576&lt;&gt;"Y")),"DUE","Scheduled")))</f>
        <v/>
      </c>
      <c r="T576" s="20"/>
      <c r="U576" s="23" t="str">
        <f aca="false">IF($B576="","",IF(OR($T576&lt;=2,$I576="Editorial"),"REDO",""))</f>
        <v/>
      </c>
      <c r="V576" s="18" t="str">
        <f aca="false">IF($S576&lt;&gt;"DUE","",COUNTIF($S$3:$S576,"DUE"))</f>
        <v/>
      </c>
    </row>
    <row r="577" customFormat="false" ht="15" hidden="false" customHeight="false" outlineLevel="0" collapsed="false">
      <c r="A577" s="12" t="str">
        <f aca="false">IF($F577="","",ROW()-2)</f>
        <v/>
      </c>
      <c r="B577" s="19"/>
      <c r="C577" s="20"/>
      <c r="D577" s="21"/>
      <c r="E577" s="21"/>
      <c r="F577" s="21"/>
      <c r="G577" s="20"/>
      <c r="H577" s="21"/>
      <c r="I577" s="20"/>
      <c r="J577" s="20"/>
      <c r="K577" s="21"/>
      <c r="L577" s="21"/>
      <c r="M577" s="22" t="str">
        <f aca="false">IF($B577="","",$B577+2)</f>
        <v/>
      </c>
      <c r="N577" s="20"/>
      <c r="O577" s="22" t="str">
        <f aca="false">IF($B577="","",$B577+5)</f>
        <v/>
      </c>
      <c r="P577" s="20"/>
      <c r="Q577" s="22" t="str">
        <f aca="false">IF($B577="","",$B577+10)</f>
        <v/>
      </c>
      <c r="R577" s="20"/>
      <c r="S577" s="23" t="str">
        <f aca="true">IF($B577="","",IF(AND($N577="Y",$P577="Y",$R577="Y"),"Done",IF(OR(AND($M577&lt;=TODAY(),$N577&lt;&gt;"Y"),AND($O577&lt;=TODAY(),$P577&lt;&gt;"Y"),AND($Q577&lt;=TODAY(),$R577&lt;&gt;"Y")),"DUE","Scheduled")))</f>
        <v/>
      </c>
      <c r="T577" s="20"/>
      <c r="U577" s="23" t="str">
        <f aca="false">IF($B577="","",IF(OR($T577&lt;=2,$I577="Editorial"),"REDO",""))</f>
        <v/>
      </c>
      <c r="V577" s="18" t="str">
        <f aca="false">IF($S577&lt;&gt;"DUE","",COUNTIF($S$3:$S577,"DUE"))</f>
        <v/>
      </c>
    </row>
    <row r="578" customFormat="false" ht="15" hidden="false" customHeight="false" outlineLevel="0" collapsed="false">
      <c r="A578" s="12" t="str">
        <f aca="false">IF($F578="","",ROW()-2)</f>
        <v/>
      </c>
      <c r="B578" s="19"/>
      <c r="C578" s="20"/>
      <c r="D578" s="21"/>
      <c r="E578" s="21"/>
      <c r="F578" s="21"/>
      <c r="G578" s="20"/>
      <c r="H578" s="21"/>
      <c r="I578" s="20"/>
      <c r="J578" s="20"/>
      <c r="K578" s="21"/>
      <c r="L578" s="21"/>
      <c r="M578" s="22" t="str">
        <f aca="false">IF($B578="","",$B578+2)</f>
        <v/>
      </c>
      <c r="N578" s="20"/>
      <c r="O578" s="22" t="str">
        <f aca="false">IF($B578="","",$B578+5)</f>
        <v/>
      </c>
      <c r="P578" s="20"/>
      <c r="Q578" s="22" t="str">
        <f aca="false">IF($B578="","",$B578+10)</f>
        <v/>
      </c>
      <c r="R578" s="20"/>
      <c r="S578" s="23" t="str">
        <f aca="true">IF($B578="","",IF(AND($N578="Y",$P578="Y",$R578="Y"),"Done",IF(OR(AND($M578&lt;=TODAY(),$N578&lt;&gt;"Y"),AND($O578&lt;=TODAY(),$P578&lt;&gt;"Y"),AND($Q578&lt;=TODAY(),$R578&lt;&gt;"Y")),"DUE","Scheduled")))</f>
        <v/>
      </c>
      <c r="T578" s="20"/>
      <c r="U578" s="23" t="str">
        <f aca="false">IF($B578="","",IF(OR($T578&lt;=2,$I578="Editorial"),"REDO",""))</f>
        <v/>
      </c>
      <c r="V578" s="18" t="str">
        <f aca="false">IF($S578&lt;&gt;"DUE","",COUNTIF($S$3:$S578,"DUE"))</f>
        <v/>
      </c>
    </row>
    <row r="579" customFormat="false" ht="15" hidden="false" customHeight="false" outlineLevel="0" collapsed="false">
      <c r="A579" s="12" t="str">
        <f aca="false">IF($F579="","",ROW()-2)</f>
        <v/>
      </c>
      <c r="B579" s="19"/>
      <c r="C579" s="20"/>
      <c r="D579" s="21"/>
      <c r="E579" s="21"/>
      <c r="F579" s="21"/>
      <c r="G579" s="20"/>
      <c r="H579" s="21"/>
      <c r="I579" s="20"/>
      <c r="J579" s="20"/>
      <c r="K579" s="21"/>
      <c r="L579" s="21"/>
      <c r="M579" s="22" t="str">
        <f aca="false">IF($B579="","",$B579+2)</f>
        <v/>
      </c>
      <c r="N579" s="20"/>
      <c r="O579" s="22" t="str">
        <f aca="false">IF($B579="","",$B579+5)</f>
        <v/>
      </c>
      <c r="P579" s="20"/>
      <c r="Q579" s="22" t="str">
        <f aca="false">IF($B579="","",$B579+10)</f>
        <v/>
      </c>
      <c r="R579" s="20"/>
      <c r="S579" s="23" t="str">
        <f aca="true">IF($B579="","",IF(AND($N579="Y",$P579="Y",$R579="Y"),"Done",IF(OR(AND($M579&lt;=TODAY(),$N579&lt;&gt;"Y"),AND($O579&lt;=TODAY(),$P579&lt;&gt;"Y"),AND($Q579&lt;=TODAY(),$R579&lt;&gt;"Y")),"DUE","Scheduled")))</f>
        <v/>
      </c>
      <c r="T579" s="20"/>
      <c r="U579" s="23" t="str">
        <f aca="false">IF($B579="","",IF(OR($T579&lt;=2,$I579="Editorial"),"REDO",""))</f>
        <v/>
      </c>
      <c r="V579" s="18" t="str">
        <f aca="false">IF($S579&lt;&gt;"DUE","",COUNTIF($S$3:$S579,"DUE"))</f>
        <v/>
      </c>
    </row>
    <row r="580" customFormat="false" ht="15" hidden="false" customHeight="false" outlineLevel="0" collapsed="false">
      <c r="A580" s="12" t="str">
        <f aca="false">IF($F580="","",ROW()-2)</f>
        <v/>
      </c>
      <c r="B580" s="19"/>
      <c r="C580" s="20"/>
      <c r="D580" s="21"/>
      <c r="E580" s="21"/>
      <c r="F580" s="21"/>
      <c r="G580" s="20"/>
      <c r="H580" s="21"/>
      <c r="I580" s="20"/>
      <c r="J580" s="20"/>
      <c r="K580" s="21"/>
      <c r="L580" s="21"/>
      <c r="M580" s="22" t="str">
        <f aca="false">IF($B580="","",$B580+2)</f>
        <v/>
      </c>
      <c r="N580" s="20"/>
      <c r="O580" s="22" t="str">
        <f aca="false">IF($B580="","",$B580+5)</f>
        <v/>
      </c>
      <c r="P580" s="20"/>
      <c r="Q580" s="22" t="str">
        <f aca="false">IF($B580="","",$B580+10)</f>
        <v/>
      </c>
      <c r="R580" s="20"/>
      <c r="S580" s="23" t="str">
        <f aca="true">IF($B580="","",IF(AND($N580="Y",$P580="Y",$R580="Y"),"Done",IF(OR(AND($M580&lt;=TODAY(),$N580&lt;&gt;"Y"),AND($O580&lt;=TODAY(),$P580&lt;&gt;"Y"),AND($Q580&lt;=TODAY(),$R580&lt;&gt;"Y")),"DUE","Scheduled")))</f>
        <v/>
      </c>
      <c r="T580" s="20"/>
      <c r="U580" s="23" t="str">
        <f aca="false">IF($B580="","",IF(OR($T580&lt;=2,$I580="Editorial"),"REDO",""))</f>
        <v/>
      </c>
      <c r="V580" s="18" t="str">
        <f aca="false">IF($S580&lt;&gt;"DUE","",COUNTIF($S$3:$S580,"DUE"))</f>
        <v/>
      </c>
    </row>
    <row r="581" customFormat="false" ht="15" hidden="false" customHeight="false" outlineLevel="0" collapsed="false">
      <c r="A581" s="12" t="str">
        <f aca="false">IF($F581="","",ROW()-2)</f>
        <v/>
      </c>
      <c r="B581" s="19"/>
      <c r="C581" s="20"/>
      <c r="D581" s="21"/>
      <c r="E581" s="21"/>
      <c r="F581" s="21"/>
      <c r="G581" s="20"/>
      <c r="H581" s="21"/>
      <c r="I581" s="20"/>
      <c r="J581" s="20"/>
      <c r="K581" s="21"/>
      <c r="L581" s="21"/>
      <c r="M581" s="22" t="str">
        <f aca="false">IF($B581="","",$B581+2)</f>
        <v/>
      </c>
      <c r="N581" s="20"/>
      <c r="O581" s="22" t="str">
        <f aca="false">IF($B581="","",$B581+5)</f>
        <v/>
      </c>
      <c r="P581" s="20"/>
      <c r="Q581" s="22" t="str">
        <f aca="false">IF($B581="","",$B581+10)</f>
        <v/>
      </c>
      <c r="R581" s="20"/>
      <c r="S581" s="23" t="str">
        <f aca="true">IF($B581="","",IF(AND($N581="Y",$P581="Y",$R581="Y"),"Done",IF(OR(AND($M581&lt;=TODAY(),$N581&lt;&gt;"Y"),AND($O581&lt;=TODAY(),$P581&lt;&gt;"Y"),AND($Q581&lt;=TODAY(),$R581&lt;&gt;"Y")),"DUE","Scheduled")))</f>
        <v/>
      </c>
      <c r="T581" s="20"/>
      <c r="U581" s="23" t="str">
        <f aca="false">IF($B581="","",IF(OR($T581&lt;=2,$I581="Editorial"),"REDO",""))</f>
        <v/>
      </c>
      <c r="V581" s="18" t="str">
        <f aca="false">IF($S581&lt;&gt;"DUE","",COUNTIF($S$3:$S581,"DUE"))</f>
        <v/>
      </c>
    </row>
    <row r="582" customFormat="false" ht="15" hidden="false" customHeight="false" outlineLevel="0" collapsed="false">
      <c r="A582" s="12" t="str">
        <f aca="false">IF($F582="","",ROW()-2)</f>
        <v/>
      </c>
      <c r="B582" s="19"/>
      <c r="C582" s="20"/>
      <c r="D582" s="21"/>
      <c r="E582" s="21"/>
      <c r="F582" s="21"/>
      <c r="G582" s="20"/>
      <c r="H582" s="21"/>
      <c r="I582" s="20"/>
      <c r="J582" s="20"/>
      <c r="K582" s="21"/>
      <c r="L582" s="21"/>
      <c r="M582" s="22" t="str">
        <f aca="false">IF($B582="","",$B582+2)</f>
        <v/>
      </c>
      <c r="N582" s="20"/>
      <c r="O582" s="22" t="str">
        <f aca="false">IF($B582="","",$B582+5)</f>
        <v/>
      </c>
      <c r="P582" s="20"/>
      <c r="Q582" s="22" t="str">
        <f aca="false">IF($B582="","",$B582+10)</f>
        <v/>
      </c>
      <c r="R582" s="20"/>
      <c r="S582" s="23" t="str">
        <f aca="true">IF($B582="","",IF(AND($N582="Y",$P582="Y",$R582="Y"),"Done",IF(OR(AND($M582&lt;=TODAY(),$N582&lt;&gt;"Y"),AND($O582&lt;=TODAY(),$P582&lt;&gt;"Y"),AND($Q582&lt;=TODAY(),$R582&lt;&gt;"Y")),"DUE","Scheduled")))</f>
        <v/>
      </c>
      <c r="T582" s="20"/>
      <c r="U582" s="23" t="str">
        <f aca="false">IF($B582="","",IF(OR($T582&lt;=2,$I582="Editorial"),"REDO",""))</f>
        <v/>
      </c>
      <c r="V582" s="18" t="str">
        <f aca="false">IF($S582&lt;&gt;"DUE","",COUNTIF($S$3:$S582,"DUE"))</f>
        <v/>
      </c>
    </row>
    <row r="583" customFormat="false" ht="15" hidden="false" customHeight="false" outlineLevel="0" collapsed="false">
      <c r="A583" s="12" t="str">
        <f aca="false">IF($F583="","",ROW()-2)</f>
        <v/>
      </c>
      <c r="B583" s="19"/>
      <c r="C583" s="20"/>
      <c r="D583" s="21"/>
      <c r="E583" s="21"/>
      <c r="F583" s="21"/>
      <c r="G583" s="20"/>
      <c r="H583" s="21"/>
      <c r="I583" s="20"/>
      <c r="J583" s="20"/>
      <c r="K583" s="21"/>
      <c r="L583" s="21"/>
      <c r="M583" s="22" t="str">
        <f aca="false">IF($B583="","",$B583+2)</f>
        <v/>
      </c>
      <c r="N583" s="20"/>
      <c r="O583" s="22" t="str">
        <f aca="false">IF($B583="","",$B583+5)</f>
        <v/>
      </c>
      <c r="P583" s="20"/>
      <c r="Q583" s="22" t="str">
        <f aca="false">IF($B583="","",$B583+10)</f>
        <v/>
      </c>
      <c r="R583" s="20"/>
      <c r="S583" s="23" t="str">
        <f aca="true">IF($B583="","",IF(AND($N583="Y",$P583="Y",$R583="Y"),"Done",IF(OR(AND($M583&lt;=TODAY(),$N583&lt;&gt;"Y"),AND($O583&lt;=TODAY(),$P583&lt;&gt;"Y"),AND($Q583&lt;=TODAY(),$R583&lt;&gt;"Y")),"DUE","Scheduled")))</f>
        <v/>
      </c>
      <c r="T583" s="20"/>
      <c r="U583" s="23" t="str">
        <f aca="false">IF($B583="","",IF(OR($T583&lt;=2,$I583="Editorial"),"REDO",""))</f>
        <v/>
      </c>
      <c r="V583" s="18" t="str">
        <f aca="false">IF($S583&lt;&gt;"DUE","",COUNTIF($S$3:$S583,"DUE"))</f>
        <v/>
      </c>
    </row>
    <row r="584" customFormat="false" ht="15" hidden="false" customHeight="false" outlineLevel="0" collapsed="false">
      <c r="A584" s="12" t="str">
        <f aca="false">IF($F584="","",ROW()-2)</f>
        <v/>
      </c>
      <c r="B584" s="19"/>
      <c r="C584" s="20"/>
      <c r="D584" s="21"/>
      <c r="E584" s="21"/>
      <c r="F584" s="21"/>
      <c r="G584" s="20"/>
      <c r="H584" s="21"/>
      <c r="I584" s="20"/>
      <c r="J584" s="20"/>
      <c r="K584" s="21"/>
      <c r="L584" s="21"/>
      <c r="M584" s="22" t="str">
        <f aca="false">IF($B584="","",$B584+2)</f>
        <v/>
      </c>
      <c r="N584" s="20"/>
      <c r="O584" s="22" t="str">
        <f aca="false">IF($B584="","",$B584+5)</f>
        <v/>
      </c>
      <c r="P584" s="20"/>
      <c r="Q584" s="22" t="str">
        <f aca="false">IF($B584="","",$B584+10)</f>
        <v/>
      </c>
      <c r="R584" s="20"/>
      <c r="S584" s="23" t="str">
        <f aca="true">IF($B584="","",IF(AND($N584="Y",$P584="Y",$R584="Y"),"Done",IF(OR(AND($M584&lt;=TODAY(),$N584&lt;&gt;"Y"),AND($O584&lt;=TODAY(),$P584&lt;&gt;"Y"),AND($Q584&lt;=TODAY(),$R584&lt;&gt;"Y")),"DUE","Scheduled")))</f>
        <v/>
      </c>
      <c r="T584" s="20"/>
      <c r="U584" s="23" t="str">
        <f aca="false">IF($B584="","",IF(OR($T584&lt;=2,$I584="Editorial"),"REDO",""))</f>
        <v/>
      </c>
      <c r="V584" s="18" t="str">
        <f aca="false">IF($S584&lt;&gt;"DUE","",COUNTIF($S$3:$S584,"DUE"))</f>
        <v/>
      </c>
    </row>
    <row r="585" customFormat="false" ht="15" hidden="false" customHeight="false" outlineLevel="0" collapsed="false">
      <c r="A585" s="12" t="str">
        <f aca="false">IF($F585="","",ROW()-2)</f>
        <v/>
      </c>
      <c r="B585" s="19"/>
      <c r="C585" s="20"/>
      <c r="D585" s="21"/>
      <c r="E585" s="21"/>
      <c r="F585" s="21"/>
      <c r="G585" s="20"/>
      <c r="H585" s="21"/>
      <c r="I585" s="20"/>
      <c r="J585" s="20"/>
      <c r="K585" s="21"/>
      <c r="L585" s="21"/>
      <c r="M585" s="22" t="str">
        <f aca="false">IF($B585="","",$B585+2)</f>
        <v/>
      </c>
      <c r="N585" s="20"/>
      <c r="O585" s="22" t="str">
        <f aca="false">IF($B585="","",$B585+5)</f>
        <v/>
      </c>
      <c r="P585" s="20"/>
      <c r="Q585" s="22" t="str">
        <f aca="false">IF($B585="","",$B585+10)</f>
        <v/>
      </c>
      <c r="R585" s="20"/>
      <c r="S585" s="23" t="str">
        <f aca="true">IF($B585="","",IF(AND($N585="Y",$P585="Y",$R585="Y"),"Done",IF(OR(AND($M585&lt;=TODAY(),$N585&lt;&gt;"Y"),AND($O585&lt;=TODAY(),$P585&lt;&gt;"Y"),AND($Q585&lt;=TODAY(),$R585&lt;&gt;"Y")),"DUE","Scheduled")))</f>
        <v/>
      </c>
      <c r="T585" s="20"/>
      <c r="U585" s="23" t="str">
        <f aca="false">IF($B585="","",IF(OR($T585&lt;=2,$I585="Editorial"),"REDO",""))</f>
        <v/>
      </c>
      <c r="V585" s="18" t="str">
        <f aca="false">IF($S585&lt;&gt;"DUE","",COUNTIF($S$3:$S585,"DUE"))</f>
        <v/>
      </c>
    </row>
    <row r="586" customFormat="false" ht="15" hidden="false" customHeight="false" outlineLevel="0" collapsed="false">
      <c r="A586" s="12" t="str">
        <f aca="false">IF($F586="","",ROW()-2)</f>
        <v/>
      </c>
      <c r="B586" s="19"/>
      <c r="C586" s="20"/>
      <c r="D586" s="21"/>
      <c r="E586" s="21"/>
      <c r="F586" s="21"/>
      <c r="G586" s="20"/>
      <c r="H586" s="21"/>
      <c r="I586" s="20"/>
      <c r="J586" s="20"/>
      <c r="K586" s="21"/>
      <c r="L586" s="21"/>
      <c r="M586" s="22" t="str">
        <f aca="false">IF($B586="","",$B586+2)</f>
        <v/>
      </c>
      <c r="N586" s="20"/>
      <c r="O586" s="22" t="str">
        <f aca="false">IF($B586="","",$B586+5)</f>
        <v/>
      </c>
      <c r="P586" s="20"/>
      <c r="Q586" s="22" t="str">
        <f aca="false">IF($B586="","",$B586+10)</f>
        <v/>
      </c>
      <c r="R586" s="20"/>
      <c r="S586" s="23" t="str">
        <f aca="true">IF($B586="","",IF(AND($N586="Y",$P586="Y",$R586="Y"),"Done",IF(OR(AND($M586&lt;=TODAY(),$N586&lt;&gt;"Y"),AND($O586&lt;=TODAY(),$P586&lt;&gt;"Y"),AND($Q586&lt;=TODAY(),$R586&lt;&gt;"Y")),"DUE","Scheduled")))</f>
        <v/>
      </c>
      <c r="T586" s="20"/>
      <c r="U586" s="23" t="str">
        <f aca="false">IF($B586="","",IF(OR($T586&lt;=2,$I586="Editorial"),"REDO",""))</f>
        <v/>
      </c>
      <c r="V586" s="18" t="str">
        <f aca="false">IF($S586&lt;&gt;"DUE","",COUNTIF($S$3:$S586,"DUE"))</f>
        <v/>
      </c>
    </row>
    <row r="587" customFormat="false" ht="15" hidden="false" customHeight="false" outlineLevel="0" collapsed="false">
      <c r="A587" s="12" t="str">
        <f aca="false">IF($F587="","",ROW()-2)</f>
        <v/>
      </c>
      <c r="B587" s="19"/>
      <c r="C587" s="20"/>
      <c r="D587" s="21"/>
      <c r="E587" s="21"/>
      <c r="F587" s="21"/>
      <c r="G587" s="20"/>
      <c r="H587" s="21"/>
      <c r="I587" s="20"/>
      <c r="J587" s="20"/>
      <c r="K587" s="21"/>
      <c r="L587" s="21"/>
      <c r="M587" s="22" t="str">
        <f aca="false">IF($B587="","",$B587+2)</f>
        <v/>
      </c>
      <c r="N587" s="20"/>
      <c r="O587" s="22" t="str">
        <f aca="false">IF($B587="","",$B587+5)</f>
        <v/>
      </c>
      <c r="P587" s="20"/>
      <c r="Q587" s="22" t="str">
        <f aca="false">IF($B587="","",$B587+10)</f>
        <v/>
      </c>
      <c r="R587" s="20"/>
      <c r="S587" s="23" t="str">
        <f aca="true">IF($B587="","",IF(AND($N587="Y",$P587="Y",$R587="Y"),"Done",IF(OR(AND($M587&lt;=TODAY(),$N587&lt;&gt;"Y"),AND($O587&lt;=TODAY(),$P587&lt;&gt;"Y"),AND($Q587&lt;=TODAY(),$R587&lt;&gt;"Y")),"DUE","Scheduled")))</f>
        <v/>
      </c>
      <c r="T587" s="20"/>
      <c r="U587" s="23" t="str">
        <f aca="false">IF($B587="","",IF(OR($T587&lt;=2,$I587="Editorial"),"REDO",""))</f>
        <v/>
      </c>
      <c r="V587" s="18" t="str">
        <f aca="false">IF($S587&lt;&gt;"DUE","",COUNTIF($S$3:$S587,"DUE"))</f>
        <v/>
      </c>
    </row>
    <row r="588" customFormat="false" ht="15" hidden="false" customHeight="false" outlineLevel="0" collapsed="false">
      <c r="A588" s="12" t="str">
        <f aca="false">IF($F588="","",ROW()-2)</f>
        <v/>
      </c>
      <c r="B588" s="19"/>
      <c r="C588" s="20"/>
      <c r="D588" s="21"/>
      <c r="E588" s="21"/>
      <c r="F588" s="21"/>
      <c r="G588" s="20"/>
      <c r="H588" s="21"/>
      <c r="I588" s="20"/>
      <c r="J588" s="20"/>
      <c r="K588" s="21"/>
      <c r="L588" s="21"/>
      <c r="M588" s="22" t="str">
        <f aca="false">IF($B588="","",$B588+2)</f>
        <v/>
      </c>
      <c r="N588" s="20"/>
      <c r="O588" s="22" t="str">
        <f aca="false">IF($B588="","",$B588+5)</f>
        <v/>
      </c>
      <c r="P588" s="20"/>
      <c r="Q588" s="22" t="str">
        <f aca="false">IF($B588="","",$B588+10)</f>
        <v/>
      </c>
      <c r="R588" s="20"/>
      <c r="S588" s="23" t="str">
        <f aca="true">IF($B588="","",IF(AND($N588="Y",$P588="Y",$R588="Y"),"Done",IF(OR(AND($M588&lt;=TODAY(),$N588&lt;&gt;"Y"),AND($O588&lt;=TODAY(),$P588&lt;&gt;"Y"),AND($Q588&lt;=TODAY(),$R588&lt;&gt;"Y")),"DUE","Scheduled")))</f>
        <v/>
      </c>
      <c r="T588" s="20"/>
      <c r="U588" s="23" t="str">
        <f aca="false">IF($B588="","",IF(OR($T588&lt;=2,$I588="Editorial"),"REDO",""))</f>
        <v/>
      </c>
      <c r="V588" s="18" t="str">
        <f aca="false">IF($S588&lt;&gt;"DUE","",COUNTIF($S$3:$S588,"DUE"))</f>
        <v/>
      </c>
    </row>
    <row r="589" customFormat="false" ht="15" hidden="false" customHeight="false" outlineLevel="0" collapsed="false">
      <c r="A589" s="12" t="str">
        <f aca="false">IF($F589="","",ROW()-2)</f>
        <v/>
      </c>
      <c r="B589" s="19"/>
      <c r="C589" s="20"/>
      <c r="D589" s="21"/>
      <c r="E589" s="21"/>
      <c r="F589" s="21"/>
      <c r="G589" s="20"/>
      <c r="H589" s="21"/>
      <c r="I589" s="20"/>
      <c r="J589" s="20"/>
      <c r="K589" s="21"/>
      <c r="L589" s="21"/>
      <c r="M589" s="22" t="str">
        <f aca="false">IF($B589="","",$B589+2)</f>
        <v/>
      </c>
      <c r="N589" s="20"/>
      <c r="O589" s="22" t="str">
        <f aca="false">IF($B589="","",$B589+5)</f>
        <v/>
      </c>
      <c r="P589" s="20"/>
      <c r="Q589" s="22" t="str">
        <f aca="false">IF($B589="","",$B589+10)</f>
        <v/>
      </c>
      <c r="R589" s="20"/>
      <c r="S589" s="23" t="str">
        <f aca="true">IF($B589="","",IF(AND($N589="Y",$P589="Y",$R589="Y"),"Done",IF(OR(AND($M589&lt;=TODAY(),$N589&lt;&gt;"Y"),AND($O589&lt;=TODAY(),$P589&lt;&gt;"Y"),AND($Q589&lt;=TODAY(),$R589&lt;&gt;"Y")),"DUE","Scheduled")))</f>
        <v/>
      </c>
      <c r="T589" s="20"/>
      <c r="U589" s="23" t="str">
        <f aca="false">IF($B589="","",IF(OR($T589&lt;=2,$I589="Editorial"),"REDO",""))</f>
        <v/>
      </c>
      <c r="V589" s="18" t="str">
        <f aca="false">IF($S589&lt;&gt;"DUE","",COUNTIF($S$3:$S589,"DUE"))</f>
        <v/>
      </c>
    </row>
    <row r="590" customFormat="false" ht="15" hidden="false" customHeight="false" outlineLevel="0" collapsed="false">
      <c r="A590" s="12" t="str">
        <f aca="false">IF($F590="","",ROW()-2)</f>
        <v/>
      </c>
      <c r="B590" s="19"/>
      <c r="C590" s="20"/>
      <c r="D590" s="21"/>
      <c r="E590" s="21"/>
      <c r="F590" s="21"/>
      <c r="G590" s="20"/>
      <c r="H590" s="21"/>
      <c r="I590" s="20"/>
      <c r="J590" s="20"/>
      <c r="K590" s="21"/>
      <c r="L590" s="21"/>
      <c r="M590" s="22" t="str">
        <f aca="false">IF($B590="","",$B590+2)</f>
        <v/>
      </c>
      <c r="N590" s="20"/>
      <c r="O590" s="22" t="str">
        <f aca="false">IF($B590="","",$B590+5)</f>
        <v/>
      </c>
      <c r="P590" s="20"/>
      <c r="Q590" s="22" t="str">
        <f aca="false">IF($B590="","",$B590+10)</f>
        <v/>
      </c>
      <c r="R590" s="20"/>
      <c r="S590" s="23" t="str">
        <f aca="true">IF($B590="","",IF(AND($N590="Y",$P590="Y",$R590="Y"),"Done",IF(OR(AND($M590&lt;=TODAY(),$N590&lt;&gt;"Y"),AND($O590&lt;=TODAY(),$P590&lt;&gt;"Y"),AND($Q590&lt;=TODAY(),$R590&lt;&gt;"Y")),"DUE","Scheduled")))</f>
        <v/>
      </c>
      <c r="T590" s="20"/>
      <c r="U590" s="23" t="str">
        <f aca="false">IF($B590="","",IF(OR($T590&lt;=2,$I590="Editorial"),"REDO",""))</f>
        <v/>
      </c>
      <c r="V590" s="18" t="str">
        <f aca="false">IF($S590&lt;&gt;"DUE","",COUNTIF($S$3:$S590,"DUE"))</f>
        <v/>
      </c>
    </row>
    <row r="591" customFormat="false" ht="15" hidden="false" customHeight="false" outlineLevel="0" collapsed="false">
      <c r="A591" s="12" t="str">
        <f aca="false">IF($F591="","",ROW()-2)</f>
        <v/>
      </c>
      <c r="B591" s="19"/>
      <c r="C591" s="20"/>
      <c r="D591" s="21"/>
      <c r="E591" s="21"/>
      <c r="F591" s="21"/>
      <c r="G591" s="20"/>
      <c r="H591" s="21"/>
      <c r="I591" s="20"/>
      <c r="J591" s="20"/>
      <c r="K591" s="21"/>
      <c r="L591" s="21"/>
      <c r="M591" s="22" t="str">
        <f aca="false">IF($B591="","",$B591+2)</f>
        <v/>
      </c>
      <c r="N591" s="20"/>
      <c r="O591" s="22" t="str">
        <f aca="false">IF($B591="","",$B591+5)</f>
        <v/>
      </c>
      <c r="P591" s="20"/>
      <c r="Q591" s="22" t="str">
        <f aca="false">IF($B591="","",$B591+10)</f>
        <v/>
      </c>
      <c r="R591" s="20"/>
      <c r="S591" s="23" t="str">
        <f aca="true">IF($B591="","",IF(AND($N591="Y",$P591="Y",$R591="Y"),"Done",IF(OR(AND($M591&lt;=TODAY(),$N591&lt;&gt;"Y"),AND($O591&lt;=TODAY(),$P591&lt;&gt;"Y"),AND($Q591&lt;=TODAY(),$R591&lt;&gt;"Y")),"DUE","Scheduled")))</f>
        <v/>
      </c>
      <c r="T591" s="20"/>
      <c r="U591" s="23" t="str">
        <f aca="false">IF($B591="","",IF(OR($T591&lt;=2,$I591="Editorial"),"REDO",""))</f>
        <v/>
      </c>
      <c r="V591" s="18" t="str">
        <f aca="false">IF($S591&lt;&gt;"DUE","",COUNTIF($S$3:$S591,"DUE"))</f>
        <v/>
      </c>
    </row>
    <row r="592" customFormat="false" ht="15" hidden="false" customHeight="false" outlineLevel="0" collapsed="false">
      <c r="A592" s="12" t="str">
        <f aca="false">IF($F592="","",ROW()-2)</f>
        <v/>
      </c>
      <c r="B592" s="19"/>
      <c r="C592" s="20"/>
      <c r="D592" s="21"/>
      <c r="E592" s="21"/>
      <c r="F592" s="21"/>
      <c r="G592" s="20"/>
      <c r="H592" s="21"/>
      <c r="I592" s="20"/>
      <c r="J592" s="20"/>
      <c r="K592" s="21"/>
      <c r="L592" s="21"/>
      <c r="M592" s="22" t="str">
        <f aca="false">IF($B592="","",$B592+2)</f>
        <v/>
      </c>
      <c r="N592" s="20"/>
      <c r="O592" s="22" t="str">
        <f aca="false">IF($B592="","",$B592+5)</f>
        <v/>
      </c>
      <c r="P592" s="20"/>
      <c r="Q592" s="22" t="str">
        <f aca="false">IF($B592="","",$B592+10)</f>
        <v/>
      </c>
      <c r="R592" s="20"/>
      <c r="S592" s="23" t="str">
        <f aca="true">IF($B592="","",IF(AND($N592="Y",$P592="Y",$R592="Y"),"Done",IF(OR(AND($M592&lt;=TODAY(),$N592&lt;&gt;"Y"),AND($O592&lt;=TODAY(),$P592&lt;&gt;"Y"),AND($Q592&lt;=TODAY(),$R592&lt;&gt;"Y")),"DUE","Scheduled")))</f>
        <v/>
      </c>
      <c r="T592" s="20"/>
      <c r="U592" s="23" t="str">
        <f aca="false">IF($B592="","",IF(OR($T592&lt;=2,$I592="Editorial"),"REDO",""))</f>
        <v/>
      </c>
      <c r="V592" s="18" t="str">
        <f aca="false">IF($S592&lt;&gt;"DUE","",COUNTIF($S$3:$S592,"DUE"))</f>
        <v/>
      </c>
    </row>
    <row r="593" customFormat="false" ht="15" hidden="false" customHeight="false" outlineLevel="0" collapsed="false">
      <c r="A593" s="12" t="str">
        <f aca="false">IF($F593="","",ROW()-2)</f>
        <v/>
      </c>
      <c r="B593" s="19"/>
      <c r="C593" s="20"/>
      <c r="D593" s="21"/>
      <c r="E593" s="21"/>
      <c r="F593" s="21"/>
      <c r="G593" s="20"/>
      <c r="H593" s="21"/>
      <c r="I593" s="20"/>
      <c r="J593" s="20"/>
      <c r="K593" s="21"/>
      <c r="L593" s="21"/>
      <c r="M593" s="22" t="str">
        <f aca="false">IF($B593="","",$B593+2)</f>
        <v/>
      </c>
      <c r="N593" s="20"/>
      <c r="O593" s="22" t="str">
        <f aca="false">IF($B593="","",$B593+5)</f>
        <v/>
      </c>
      <c r="P593" s="20"/>
      <c r="Q593" s="22" t="str">
        <f aca="false">IF($B593="","",$B593+10)</f>
        <v/>
      </c>
      <c r="R593" s="20"/>
      <c r="S593" s="23" t="str">
        <f aca="true">IF($B593="","",IF(AND($N593="Y",$P593="Y",$R593="Y"),"Done",IF(OR(AND($M593&lt;=TODAY(),$N593&lt;&gt;"Y"),AND($O593&lt;=TODAY(),$P593&lt;&gt;"Y"),AND($Q593&lt;=TODAY(),$R593&lt;&gt;"Y")),"DUE","Scheduled")))</f>
        <v/>
      </c>
      <c r="T593" s="20"/>
      <c r="U593" s="23" t="str">
        <f aca="false">IF($B593="","",IF(OR($T593&lt;=2,$I593="Editorial"),"REDO",""))</f>
        <v/>
      </c>
      <c r="V593" s="18" t="str">
        <f aca="false">IF($S593&lt;&gt;"DUE","",COUNTIF($S$3:$S593,"DUE"))</f>
        <v/>
      </c>
    </row>
    <row r="594" customFormat="false" ht="15" hidden="false" customHeight="false" outlineLevel="0" collapsed="false">
      <c r="A594" s="12" t="str">
        <f aca="false">IF($F594="","",ROW()-2)</f>
        <v/>
      </c>
      <c r="B594" s="19"/>
      <c r="C594" s="20"/>
      <c r="D594" s="21"/>
      <c r="E594" s="21"/>
      <c r="F594" s="21"/>
      <c r="G594" s="20"/>
      <c r="H594" s="21"/>
      <c r="I594" s="20"/>
      <c r="J594" s="20"/>
      <c r="K594" s="21"/>
      <c r="L594" s="21"/>
      <c r="M594" s="22" t="str">
        <f aca="false">IF($B594="","",$B594+2)</f>
        <v/>
      </c>
      <c r="N594" s="20"/>
      <c r="O594" s="22" t="str">
        <f aca="false">IF($B594="","",$B594+5)</f>
        <v/>
      </c>
      <c r="P594" s="20"/>
      <c r="Q594" s="22" t="str">
        <f aca="false">IF($B594="","",$B594+10)</f>
        <v/>
      </c>
      <c r="R594" s="20"/>
      <c r="S594" s="23" t="str">
        <f aca="true">IF($B594="","",IF(AND($N594="Y",$P594="Y",$R594="Y"),"Done",IF(OR(AND($M594&lt;=TODAY(),$N594&lt;&gt;"Y"),AND($O594&lt;=TODAY(),$P594&lt;&gt;"Y"),AND($Q594&lt;=TODAY(),$R594&lt;&gt;"Y")),"DUE","Scheduled")))</f>
        <v/>
      </c>
      <c r="T594" s="20"/>
      <c r="U594" s="23" t="str">
        <f aca="false">IF($B594="","",IF(OR($T594&lt;=2,$I594="Editorial"),"REDO",""))</f>
        <v/>
      </c>
      <c r="V594" s="18" t="str">
        <f aca="false">IF($S594&lt;&gt;"DUE","",COUNTIF($S$3:$S594,"DUE"))</f>
        <v/>
      </c>
    </row>
    <row r="595" customFormat="false" ht="15" hidden="false" customHeight="false" outlineLevel="0" collapsed="false">
      <c r="A595" s="12" t="str">
        <f aca="false">IF($F595="","",ROW()-2)</f>
        <v/>
      </c>
      <c r="B595" s="19"/>
      <c r="C595" s="20"/>
      <c r="D595" s="21"/>
      <c r="E595" s="21"/>
      <c r="F595" s="21"/>
      <c r="G595" s="20"/>
      <c r="H595" s="21"/>
      <c r="I595" s="20"/>
      <c r="J595" s="20"/>
      <c r="K595" s="21"/>
      <c r="L595" s="21"/>
      <c r="M595" s="22" t="str">
        <f aca="false">IF($B595="","",$B595+2)</f>
        <v/>
      </c>
      <c r="N595" s="20"/>
      <c r="O595" s="22" t="str">
        <f aca="false">IF($B595="","",$B595+5)</f>
        <v/>
      </c>
      <c r="P595" s="20"/>
      <c r="Q595" s="22" t="str">
        <f aca="false">IF($B595="","",$B595+10)</f>
        <v/>
      </c>
      <c r="R595" s="20"/>
      <c r="S595" s="23" t="str">
        <f aca="true">IF($B595="","",IF(AND($N595="Y",$P595="Y",$R595="Y"),"Done",IF(OR(AND($M595&lt;=TODAY(),$N595&lt;&gt;"Y"),AND($O595&lt;=TODAY(),$P595&lt;&gt;"Y"),AND($Q595&lt;=TODAY(),$R595&lt;&gt;"Y")),"DUE","Scheduled")))</f>
        <v/>
      </c>
      <c r="T595" s="20"/>
      <c r="U595" s="23" t="str">
        <f aca="false">IF($B595="","",IF(OR($T595&lt;=2,$I595="Editorial"),"REDO",""))</f>
        <v/>
      </c>
      <c r="V595" s="18" t="str">
        <f aca="false">IF($S595&lt;&gt;"DUE","",COUNTIF($S$3:$S595,"DUE"))</f>
        <v/>
      </c>
    </row>
    <row r="596" customFormat="false" ht="15" hidden="false" customHeight="false" outlineLevel="0" collapsed="false">
      <c r="A596" s="12" t="str">
        <f aca="false">IF($F596="","",ROW()-2)</f>
        <v/>
      </c>
      <c r="B596" s="19"/>
      <c r="C596" s="20"/>
      <c r="D596" s="21"/>
      <c r="E596" s="21"/>
      <c r="F596" s="21"/>
      <c r="G596" s="20"/>
      <c r="H596" s="21"/>
      <c r="I596" s="20"/>
      <c r="J596" s="20"/>
      <c r="K596" s="21"/>
      <c r="L596" s="21"/>
      <c r="M596" s="22" t="str">
        <f aca="false">IF($B596="","",$B596+2)</f>
        <v/>
      </c>
      <c r="N596" s="20"/>
      <c r="O596" s="22" t="str">
        <f aca="false">IF($B596="","",$B596+5)</f>
        <v/>
      </c>
      <c r="P596" s="20"/>
      <c r="Q596" s="22" t="str">
        <f aca="false">IF($B596="","",$B596+10)</f>
        <v/>
      </c>
      <c r="R596" s="20"/>
      <c r="S596" s="23" t="str">
        <f aca="true">IF($B596="","",IF(AND($N596="Y",$P596="Y",$R596="Y"),"Done",IF(OR(AND($M596&lt;=TODAY(),$N596&lt;&gt;"Y"),AND($O596&lt;=TODAY(),$P596&lt;&gt;"Y"),AND($Q596&lt;=TODAY(),$R596&lt;&gt;"Y")),"DUE","Scheduled")))</f>
        <v/>
      </c>
      <c r="T596" s="20"/>
      <c r="U596" s="23" t="str">
        <f aca="false">IF($B596="","",IF(OR($T596&lt;=2,$I596="Editorial"),"REDO",""))</f>
        <v/>
      </c>
      <c r="V596" s="18" t="str">
        <f aca="false">IF($S596&lt;&gt;"DUE","",COUNTIF($S$3:$S596,"DUE"))</f>
        <v/>
      </c>
    </row>
    <row r="597" customFormat="false" ht="15" hidden="false" customHeight="false" outlineLevel="0" collapsed="false">
      <c r="A597" s="12" t="str">
        <f aca="false">IF($F597="","",ROW()-2)</f>
        <v/>
      </c>
      <c r="B597" s="19"/>
      <c r="C597" s="20"/>
      <c r="D597" s="21"/>
      <c r="E597" s="21"/>
      <c r="F597" s="21"/>
      <c r="G597" s="20"/>
      <c r="H597" s="21"/>
      <c r="I597" s="20"/>
      <c r="J597" s="20"/>
      <c r="K597" s="21"/>
      <c r="L597" s="21"/>
      <c r="M597" s="22" t="str">
        <f aca="false">IF($B597="","",$B597+2)</f>
        <v/>
      </c>
      <c r="N597" s="20"/>
      <c r="O597" s="22" t="str">
        <f aca="false">IF($B597="","",$B597+5)</f>
        <v/>
      </c>
      <c r="P597" s="20"/>
      <c r="Q597" s="22" t="str">
        <f aca="false">IF($B597="","",$B597+10)</f>
        <v/>
      </c>
      <c r="R597" s="20"/>
      <c r="S597" s="23" t="str">
        <f aca="true">IF($B597="","",IF(AND($N597="Y",$P597="Y",$R597="Y"),"Done",IF(OR(AND($M597&lt;=TODAY(),$N597&lt;&gt;"Y"),AND($O597&lt;=TODAY(),$P597&lt;&gt;"Y"),AND($Q597&lt;=TODAY(),$R597&lt;&gt;"Y")),"DUE","Scheduled")))</f>
        <v/>
      </c>
      <c r="T597" s="20"/>
      <c r="U597" s="23" t="str">
        <f aca="false">IF($B597="","",IF(OR($T597&lt;=2,$I597="Editorial"),"REDO",""))</f>
        <v/>
      </c>
      <c r="V597" s="18" t="str">
        <f aca="false">IF($S597&lt;&gt;"DUE","",COUNTIF($S$3:$S597,"DUE"))</f>
        <v/>
      </c>
    </row>
    <row r="598" customFormat="false" ht="15" hidden="false" customHeight="false" outlineLevel="0" collapsed="false">
      <c r="A598" s="12" t="str">
        <f aca="false">IF($F598="","",ROW()-2)</f>
        <v/>
      </c>
      <c r="B598" s="19"/>
      <c r="C598" s="20"/>
      <c r="D598" s="21"/>
      <c r="E598" s="21"/>
      <c r="F598" s="21"/>
      <c r="G598" s="20"/>
      <c r="H598" s="21"/>
      <c r="I598" s="20"/>
      <c r="J598" s="20"/>
      <c r="K598" s="21"/>
      <c r="L598" s="21"/>
      <c r="M598" s="22" t="str">
        <f aca="false">IF($B598="","",$B598+2)</f>
        <v/>
      </c>
      <c r="N598" s="20"/>
      <c r="O598" s="22" t="str">
        <f aca="false">IF($B598="","",$B598+5)</f>
        <v/>
      </c>
      <c r="P598" s="20"/>
      <c r="Q598" s="22" t="str">
        <f aca="false">IF($B598="","",$B598+10)</f>
        <v/>
      </c>
      <c r="R598" s="20"/>
      <c r="S598" s="23" t="str">
        <f aca="true">IF($B598="","",IF(AND($N598="Y",$P598="Y",$R598="Y"),"Done",IF(OR(AND($M598&lt;=TODAY(),$N598&lt;&gt;"Y"),AND($O598&lt;=TODAY(),$P598&lt;&gt;"Y"),AND($Q598&lt;=TODAY(),$R598&lt;&gt;"Y")),"DUE","Scheduled")))</f>
        <v/>
      </c>
      <c r="T598" s="20"/>
      <c r="U598" s="23" t="str">
        <f aca="false">IF($B598="","",IF(OR($T598&lt;=2,$I598="Editorial"),"REDO",""))</f>
        <v/>
      </c>
      <c r="V598" s="18" t="str">
        <f aca="false">IF($S598&lt;&gt;"DUE","",COUNTIF($S$3:$S598,"DUE"))</f>
        <v/>
      </c>
    </row>
    <row r="599" customFormat="false" ht="15" hidden="false" customHeight="false" outlineLevel="0" collapsed="false">
      <c r="A599" s="12" t="str">
        <f aca="false">IF($F599="","",ROW()-2)</f>
        <v/>
      </c>
      <c r="B599" s="19"/>
      <c r="C599" s="20"/>
      <c r="D599" s="21"/>
      <c r="E599" s="21"/>
      <c r="F599" s="21"/>
      <c r="G599" s="20"/>
      <c r="H599" s="21"/>
      <c r="I599" s="20"/>
      <c r="J599" s="20"/>
      <c r="K599" s="21"/>
      <c r="L599" s="21"/>
      <c r="M599" s="22" t="str">
        <f aca="false">IF($B599="","",$B599+2)</f>
        <v/>
      </c>
      <c r="N599" s="20"/>
      <c r="O599" s="22" t="str">
        <f aca="false">IF($B599="","",$B599+5)</f>
        <v/>
      </c>
      <c r="P599" s="20"/>
      <c r="Q599" s="22" t="str">
        <f aca="false">IF($B599="","",$B599+10)</f>
        <v/>
      </c>
      <c r="R599" s="20"/>
      <c r="S599" s="23" t="str">
        <f aca="true">IF($B599="","",IF(AND($N599="Y",$P599="Y",$R599="Y"),"Done",IF(OR(AND($M599&lt;=TODAY(),$N599&lt;&gt;"Y"),AND($O599&lt;=TODAY(),$P599&lt;&gt;"Y"),AND($Q599&lt;=TODAY(),$R599&lt;&gt;"Y")),"DUE","Scheduled")))</f>
        <v/>
      </c>
      <c r="T599" s="20"/>
      <c r="U599" s="23" t="str">
        <f aca="false">IF($B599="","",IF(OR($T599&lt;=2,$I599="Editorial"),"REDO",""))</f>
        <v/>
      </c>
      <c r="V599" s="18" t="str">
        <f aca="false">IF($S599&lt;&gt;"DUE","",COUNTIF($S$3:$S599,"DUE"))</f>
        <v/>
      </c>
    </row>
    <row r="600" customFormat="false" ht="15" hidden="false" customHeight="false" outlineLevel="0" collapsed="false">
      <c r="A600" s="12" t="str">
        <f aca="false">IF($F600="","",ROW()-2)</f>
        <v/>
      </c>
      <c r="B600" s="19"/>
      <c r="C600" s="20"/>
      <c r="D600" s="21"/>
      <c r="E600" s="21"/>
      <c r="F600" s="21"/>
      <c r="G600" s="20"/>
      <c r="H600" s="21"/>
      <c r="I600" s="20"/>
      <c r="J600" s="20"/>
      <c r="K600" s="21"/>
      <c r="L600" s="21"/>
      <c r="M600" s="22" t="str">
        <f aca="false">IF($B600="","",$B600+2)</f>
        <v/>
      </c>
      <c r="N600" s="20"/>
      <c r="O600" s="22" t="str">
        <f aca="false">IF($B600="","",$B600+5)</f>
        <v/>
      </c>
      <c r="P600" s="20"/>
      <c r="Q600" s="22" t="str">
        <f aca="false">IF($B600="","",$B600+10)</f>
        <v/>
      </c>
      <c r="R600" s="20"/>
      <c r="S600" s="23" t="str">
        <f aca="true">IF($B600="","",IF(AND($N600="Y",$P600="Y",$R600="Y"),"Done",IF(OR(AND($M600&lt;=TODAY(),$N600&lt;&gt;"Y"),AND($O600&lt;=TODAY(),$P600&lt;&gt;"Y"),AND($Q600&lt;=TODAY(),$R600&lt;&gt;"Y")),"DUE","Scheduled")))</f>
        <v/>
      </c>
      <c r="T600" s="20"/>
      <c r="U600" s="23" t="str">
        <f aca="false">IF($B600="","",IF(OR($T600&lt;=2,$I600="Editorial"),"REDO",""))</f>
        <v/>
      </c>
      <c r="V600" s="18" t="str">
        <f aca="false">IF($S600&lt;&gt;"DUE","",COUNTIF($S$3:$S600,"DUE"))</f>
        <v/>
      </c>
    </row>
    <row r="601" customFormat="false" ht="15" hidden="false" customHeight="false" outlineLevel="0" collapsed="false">
      <c r="A601" s="12" t="str">
        <f aca="false">IF($F601="","",ROW()-2)</f>
        <v/>
      </c>
      <c r="B601" s="19"/>
      <c r="C601" s="20"/>
      <c r="D601" s="21"/>
      <c r="E601" s="21"/>
      <c r="F601" s="21"/>
      <c r="G601" s="20"/>
      <c r="H601" s="21"/>
      <c r="I601" s="20"/>
      <c r="J601" s="20"/>
      <c r="K601" s="21"/>
      <c r="L601" s="21"/>
      <c r="M601" s="22" t="str">
        <f aca="false">IF($B601="","",$B601+2)</f>
        <v/>
      </c>
      <c r="N601" s="20"/>
      <c r="O601" s="22" t="str">
        <f aca="false">IF($B601="","",$B601+5)</f>
        <v/>
      </c>
      <c r="P601" s="20"/>
      <c r="Q601" s="22" t="str">
        <f aca="false">IF($B601="","",$B601+10)</f>
        <v/>
      </c>
      <c r="R601" s="20"/>
      <c r="S601" s="23" t="str">
        <f aca="true">IF($B601="","",IF(AND($N601="Y",$P601="Y",$R601="Y"),"Done",IF(OR(AND($M601&lt;=TODAY(),$N601&lt;&gt;"Y"),AND($O601&lt;=TODAY(),$P601&lt;&gt;"Y"),AND($Q601&lt;=TODAY(),$R601&lt;&gt;"Y")),"DUE","Scheduled")))</f>
        <v/>
      </c>
      <c r="T601" s="20"/>
      <c r="U601" s="23" t="str">
        <f aca="false">IF($B601="","",IF(OR($T601&lt;=2,$I601="Editorial"),"REDO",""))</f>
        <v/>
      </c>
      <c r="V601" s="18" t="str">
        <f aca="false">IF($S601&lt;&gt;"DUE","",COUNTIF($S$3:$S601,"DUE"))</f>
        <v/>
      </c>
    </row>
    <row r="602" customFormat="false" ht="15" hidden="false" customHeight="false" outlineLevel="0" collapsed="false">
      <c r="A602" s="12" t="str">
        <f aca="false">IF($F602="","",ROW()-2)</f>
        <v/>
      </c>
      <c r="B602" s="19"/>
      <c r="C602" s="20"/>
      <c r="D602" s="21"/>
      <c r="E602" s="21"/>
      <c r="F602" s="21"/>
      <c r="G602" s="20"/>
      <c r="H602" s="21"/>
      <c r="I602" s="20"/>
      <c r="J602" s="20"/>
      <c r="K602" s="21"/>
      <c r="L602" s="21"/>
      <c r="M602" s="22" t="str">
        <f aca="false">IF($B602="","",$B602+2)</f>
        <v/>
      </c>
      <c r="N602" s="20"/>
      <c r="O602" s="22" t="str">
        <f aca="false">IF($B602="","",$B602+5)</f>
        <v/>
      </c>
      <c r="P602" s="20"/>
      <c r="Q602" s="22" t="str">
        <f aca="false">IF($B602="","",$B602+10)</f>
        <v/>
      </c>
      <c r="R602" s="20"/>
      <c r="S602" s="23" t="str">
        <f aca="true">IF($B602="","",IF(AND($N602="Y",$P602="Y",$R602="Y"),"Done",IF(OR(AND($M602&lt;=TODAY(),$N602&lt;&gt;"Y"),AND($O602&lt;=TODAY(),$P602&lt;&gt;"Y"),AND($Q602&lt;=TODAY(),$R602&lt;&gt;"Y")),"DUE","Scheduled")))</f>
        <v/>
      </c>
      <c r="T602" s="20"/>
      <c r="U602" s="23" t="str">
        <f aca="false">IF($B602="","",IF(OR($T602&lt;=2,$I602="Editorial"),"REDO",""))</f>
        <v/>
      </c>
      <c r="V602" s="18" t="str">
        <f aca="false">IF($S602&lt;&gt;"DUE","",COUNTIF($S$3:$S602,"DUE"))</f>
        <v/>
      </c>
    </row>
    <row r="603" customFormat="false" ht="15" hidden="false" customHeight="false" outlineLevel="0" collapsed="false">
      <c r="A603" s="12" t="str">
        <f aca="false">IF($F603="","",ROW()-2)</f>
        <v/>
      </c>
      <c r="B603" s="19"/>
      <c r="C603" s="20"/>
      <c r="D603" s="21"/>
      <c r="E603" s="21"/>
      <c r="F603" s="21"/>
      <c r="G603" s="20"/>
      <c r="H603" s="21"/>
      <c r="I603" s="20"/>
      <c r="J603" s="20"/>
      <c r="K603" s="21"/>
      <c r="L603" s="21"/>
      <c r="M603" s="22" t="str">
        <f aca="false">IF($B603="","",$B603+2)</f>
        <v/>
      </c>
      <c r="N603" s="20"/>
      <c r="O603" s="22" t="str">
        <f aca="false">IF($B603="","",$B603+5)</f>
        <v/>
      </c>
      <c r="P603" s="20"/>
      <c r="Q603" s="22" t="str">
        <f aca="false">IF($B603="","",$B603+10)</f>
        <v/>
      </c>
      <c r="R603" s="20"/>
      <c r="S603" s="23" t="str">
        <f aca="true">IF($B603="","",IF(AND($N603="Y",$P603="Y",$R603="Y"),"Done",IF(OR(AND($M603&lt;=TODAY(),$N603&lt;&gt;"Y"),AND($O603&lt;=TODAY(),$P603&lt;&gt;"Y"),AND($Q603&lt;=TODAY(),$R603&lt;&gt;"Y")),"DUE","Scheduled")))</f>
        <v/>
      </c>
      <c r="T603" s="20"/>
      <c r="U603" s="23" t="str">
        <f aca="false">IF($B603="","",IF(OR($T603&lt;=2,$I603="Editorial"),"REDO",""))</f>
        <v/>
      </c>
      <c r="V603" s="18" t="str">
        <f aca="false">IF($S603&lt;&gt;"DUE","",COUNTIF($S$3:$S603,"DUE"))</f>
        <v/>
      </c>
    </row>
    <row r="604" customFormat="false" ht="15" hidden="false" customHeight="false" outlineLevel="0" collapsed="false">
      <c r="A604" s="12" t="str">
        <f aca="false">IF($F604="","",ROW()-2)</f>
        <v/>
      </c>
      <c r="B604" s="19"/>
      <c r="C604" s="20"/>
      <c r="D604" s="21"/>
      <c r="E604" s="21"/>
      <c r="F604" s="21"/>
      <c r="G604" s="20"/>
      <c r="H604" s="21"/>
      <c r="I604" s="20"/>
      <c r="J604" s="20"/>
      <c r="K604" s="21"/>
      <c r="L604" s="21"/>
      <c r="M604" s="22" t="str">
        <f aca="false">IF($B604="","",$B604+2)</f>
        <v/>
      </c>
      <c r="N604" s="20"/>
      <c r="O604" s="22" t="str">
        <f aca="false">IF($B604="","",$B604+5)</f>
        <v/>
      </c>
      <c r="P604" s="20"/>
      <c r="Q604" s="22" t="str">
        <f aca="false">IF($B604="","",$B604+10)</f>
        <v/>
      </c>
      <c r="R604" s="20"/>
      <c r="S604" s="23" t="str">
        <f aca="true">IF($B604="","",IF(AND($N604="Y",$P604="Y",$R604="Y"),"Done",IF(OR(AND($M604&lt;=TODAY(),$N604&lt;&gt;"Y"),AND($O604&lt;=TODAY(),$P604&lt;&gt;"Y"),AND($Q604&lt;=TODAY(),$R604&lt;&gt;"Y")),"DUE","Scheduled")))</f>
        <v/>
      </c>
      <c r="T604" s="20"/>
      <c r="U604" s="23" t="str">
        <f aca="false">IF($B604="","",IF(OR($T604&lt;=2,$I604="Editorial"),"REDO",""))</f>
        <v/>
      </c>
      <c r="V604" s="18" t="str">
        <f aca="false">IF($S604&lt;&gt;"DUE","",COUNTIF($S$3:$S604,"DUE"))</f>
        <v/>
      </c>
    </row>
    <row r="605" customFormat="false" ht="15" hidden="false" customHeight="false" outlineLevel="0" collapsed="false">
      <c r="A605" s="12" t="str">
        <f aca="false">IF($F605="","",ROW()-2)</f>
        <v/>
      </c>
      <c r="B605" s="19"/>
      <c r="C605" s="20"/>
      <c r="D605" s="21"/>
      <c r="E605" s="21"/>
      <c r="F605" s="21"/>
      <c r="G605" s="20"/>
      <c r="H605" s="21"/>
      <c r="I605" s="20"/>
      <c r="J605" s="20"/>
      <c r="K605" s="21"/>
      <c r="L605" s="21"/>
      <c r="M605" s="22" t="str">
        <f aca="false">IF($B605="","",$B605+2)</f>
        <v/>
      </c>
      <c r="N605" s="20"/>
      <c r="O605" s="22" t="str">
        <f aca="false">IF($B605="","",$B605+5)</f>
        <v/>
      </c>
      <c r="P605" s="20"/>
      <c r="Q605" s="22" t="str">
        <f aca="false">IF($B605="","",$B605+10)</f>
        <v/>
      </c>
      <c r="R605" s="20"/>
      <c r="S605" s="23" t="str">
        <f aca="true">IF($B605="","",IF(AND($N605="Y",$P605="Y",$R605="Y"),"Done",IF(OR(AND($M605&lt;=TODAY(),$N605&lt;&gt;"Y"),AND($O605&lt;=TODAY(),$P605&lt;&gt;"Y"),AND($Q605&lt;=TODAY(),$R605&lt;&gt;"Y")),"DUE","Scheduled")))</f>
        <v/>
      </c>
      <c r="T605" s="20"/>
      <c r="U605" s="23" t="str">
        <f aca="false">IF($B605="","",IF(OR($T605&lt;=2,$I605="Editorial"),"REDO",""))</f>
        <v/>
      </c>
      <c r="V605" s="18" t="str">
        <f aca="false">IF($S605&lt;&gt;"DUE","",COUNTIF($S$3:$S605,"DUE"))</f>
        <v/>
      </c>
    </row>
    <row r="606" customFormat="false" ht="15" hidden="false" customHeight="false" outlineLevel="0" collapsed="false">
      <c r="A606" s="12" t="str">
        <f aca="false">IF($F606="","",ROW()-2)</f>
        <v/>
      </c>
      <c r="B606" s="19"/>
      <c r="C606" s="20"/>
      <c r="D606" s="21"/>
      <c r="E606" s="21"/>
      <c r="F606" s="21"/>
      <c r="G606" s="20"/>
      <c r="H606" s="21"/>
      <c r="I606" s="20"/>
      <c r="J606" s="20"/>
      <c r="K606" s="21"/>
      <c r="L606" s="21"/>
      <c r="M606" s="22" t="str">
        <f aca="false">IF($B606="","",$B606+2)</f>
        <v/>
      </c>
      <c r="N606" s="20"/>
      <c r="O606" s="22" t="str">
        <f aca="false">IF($B606="","",$B606+5)</f>
        <v/>
      </c>
      <c r="P606" s="20"/>
      <c r="Q606" s="22" t="str">
        <f aca="false">IF($B606="","",$B606+10)</f>
        <v/>
      </c>
      <c r="R606" s="20"/>
      <c r="S606" s="23" t="str">
        <f aca="true">IF($B606="","",IF(AND($N606="Y",$P606="Y",$R606="Y"),"Done",IF(OR(AND($M606&lt;=TODAY(),$N606&lt;&gt;"Y"),AND($O606&lt;=TODAY(),$P606&lt;&gt;"Y"),AND($Q606&lt;=TODAY(),$R606&lt;&gt;"Y")),"DUE","Scheduled")))</f>
        <v/>
      </c>
      <c r="T606" s="20"/>
      <c r="U606" s="23" t="str">
        <f aca="false">IF($B606="","",IF(OR($T606&lt;=2,$I606="Editorial"),"REDO",""))</f>
        <v/>
      </c>
      <c r="V606" s="18" t="str">
        <f aca="false">IF($S606&lt;&gt;"DUE","",COUNTIF($S$3:$S606,"DUE"))</f>
        <v/>
      </c>
    </row>
    <row r="607" customFormat="false" ht="15" hidden="false" customHeight="false" outlineLevel="0" collapsed="false">
      <c r="A607" s="12" t="str">
        <f aca="false">IF($F607="","",ROW()-2)</f>
        <v/>
      </c>
      <c r="B607" s="19"/>
      <c r="C607" s="20"/>
      <c r="D607" s="21"/>
      <c r="E607" s="21"/>
      <c r="F607" s="21"/>
      <c r="G607" s="20"/>
      <c r="H607" s="21"/>
      <c r="I607" s="20"/>
      <c r="J607" s="20"/>
      <c r="K607" s="21"/>
      <c r="L607" s="21"/>
      <c r="M607" s="22" t="str">
        <f aca="false">IF($B607="","",$B607+2)</f>
        <v/>
      </c>
      <c r="N607" s="20"/>
      <c r="O607" s="22" t="str">
        <f aca="false">IF($B607="","",$B607+5)</f>
        <v/>
      </c>
      <c r="P607" s="20"/>
      <c r="Q607" s="22" t="str">
        <f aca="false">IF($B607="","",$B607+10)</f>
        <v/>
      </c>
      <c r="R607" s="20"/>
      <c r="S607" s="23" t="str">
        <f aca="true">IF($B607="","",IF(AND($N607="Y",$P607="Y",$R607="Y"),"Done",IF(OR(AND($M607&lt;=TODAY(),$N607&lt;&gt;"Y"),AND($O607&lt;=TODAY(),$P607&lt;&gt;"Y"),AND($Q607&lt;=TODAY(),$R607&lt;&gt;"Y")),"DUE","Scheduled")))</f>
        <v/>
      </c>
      <c r="T607" s="20"/>
      <c r="U607" s="23" t="str">
        <f aca="false">IF($B607="","",IF(OR($T607&lt;=2,$I607="Editorial"),"REDO",""))</f>
        <v/>
      </c>
      <c r="V607" s="18" t="str">
        <f aca="false">IF($S607&lt;&gt;"DUE","",COUNTIF($S$3:$S607,"DUE"))</f>
        <v/>
      </c>
    </row>
    <row r="608" customFormat="false" ht="15" hidden="false" customHeight="false" outlineLevel="0" collapsed="false">
      <c r="A608" s="12" t="str">
        <f aca="false">IF($F608="","",ROW()-2)</f>
        <v/>
      </c>
      <c r="B608" s="19"/>
      <c r="C608" s="20"/>
      <c r="D608" s="21"/>
      <c r="E608" s="21"/>
      <c r="F608" s="21"/>
      <c r="G608" s="20"/>
      <c r="H608" s="21"/>
      <c r="I608" s="20"/>
      <c r="J608" s="20"/>
      <c r="K608" s="21"/>
      <c r="L608" s="21"/>
      <c r="M608" s="22" t="str">
        <f aca="false">IF($B608="","",$B608+2)</f>
        <v/>
      </c>
      <c r="N608" s="20"/>
      <c r="O608" s="22" t="str">
        <f aca="false">IF($B608="","",$B608+5)</f>
        <v/>
      </c>
      <c r="P608" s="20"/>
      <c r="Q608" s="22" t="str">
        <f aca="false">IF($B608="","",$B608+10)</f>
        <v/>
      </c>
      <c r="R608" s="20"/>
      <c r="S608" s="23" t="str">
        <f aca="true">IF($B608="","",IF(AND($N608="Y",$P608="Y",$R608="Y"),"Done",IF(OR(AND($M608&lt;=TODAY(),$N608&lt;&gt;"Y"),AND($O608&lt;=TODAY(),$P608&lt;&gt;"Y"),AND($Q608&lt;=TODAY(),$R608&lt;&gt;"Y")),"DUE","Scheduled")))</f>
        <v/>
      </c>
      <c r="T608" s="20"/>
      <c r="U608" s="23" t="str">
        <f aca="false">IF($B608="","",IF(OR($T608&lt;=2,$I608="Editorial"),"REDO",""))</f>
        <v/>
      </c>
      <c r="V608" s="18" t="str">
        <f aca="false">IF($S608&lt;&gt;"DUE","",COUNTIF($S$3:$S608,"DUE"))</f>
        <v/>
      </c>
    </row>
    <row r="609" customFormat="false" ht="15" hidden="false" customHeight="false" outlineLevel="0" collapsed="false">
      <c r="A609" s="12" t="str">
        <f aca="false">IF($F609="","",ROW()-2)</f>
        <v/>
      </c>
      <c r="B609" s="19"/>
      <c r="C609" s="20"/>
      <c r="D609" s="21"/>
      <c r="E609" s="21"/>
      <c r="F609" s="21"/>
      <c r="G609" s="20"/>
      <c r="H609" s="21"/>
      <c r="I609" s="20"/>
      <c r="J609" s="20"/>
      <c r="K609" s="21"/>
      <c r="L609" s="21"/>
      <c r="M609" s="22" t="str">
        <f aca="false">IF($B609="","",$B609+2)</f>
        <v/>
      </c>
      <c r="N609" s="20"/>
      <c r="O609" s="22" t="str">
        <f aca="false">IF($B609="","",$B609+5)</f>
        <v/>
      </c>
      <c r="P609" s="20"/>
      <c r="Q609" s="22" t="str">
        <f aca="false">IF($B609="","",$B609+10)</f>
        <v/>
      </c>
      <c r="R609" s="20"/>
      <c r="S609" s="23" t="str">
        <f aca="true">IF($B609="","",IF(AND($N609="Y",$P609="Y",$R609="Y"),"Done",IF(OR(AND($M609&lt;=TODAY(),$N609&lt;&gt;"Y"),AND($O609&lt;=TODAY(),$P609&lt;&gt;"Y"),AND($Q609&lt;=TODAY(),$R609&lt;&gt;"Y")),"DUE","Scheduled")))</f>
        <v/>
      </c>
      <c r="T609" s="20"/>
      <c r="U609" s="23" t="str">
        <f aca="false">IF($B609="","",IF(OR($T609&lt;=2,$I609="Editorial"),"REDO",""))</f>
        <v/>
      </c>
      <c r="V609" s="18" t="str">
        <f aca="false">IF($S609&lt;&gt;"DUE","",COUNTIF($S$3:$S609,"DUE"))</f>
        <v/>
      </c>
    </row>
    <row r="610" customFormat="false" ht="15" hidden="false" customHeight="false" outlineLevel="0" collapsed="false">
      <c r="A610" s="12" t="str">
        <f aca="false">IF($F610="","",ROW()-2)</f>
        <v/>
      </c>
      <c r="B610" s="19"/>
      <c r="C610" s="20"/>
      <c r="D610" s="21"/>
      <c r="E610" s="21"/>
      <c r="F610" s="21"/>
      <c r="G610" s="20"/>
      <c r="H610" s="21"/>
      <c r="I610" s="20"/>
      <c r="J610" s="20"/>
      <c r="K610" s="21"/>
      <c r="L610" s="21"/>
      <c r="M610" s="22" t="str">
        <f aca="false">IF($B610="","",$B610+2)</f>
        <v/>
      </c>
      <c r="N610" s="20"/>
      <c r="O610" s="22" t="str">
        <f aca="false">IF($B610="","",$B610+5)</f>
        <v/>
      </c>
      <c r="P610" s="20"/>
      <c r="Q610" s="22" t="str">
        <f aca="false">IF($B610="","",$B610+10)</f>
        <v/>
      </c>
      <c r="R610" s="20"/>
      <c r="S610" s="23" t="str">
        <f aca="true">IF($B610="","",IF(AND($N610="Y",$P610="Y",$R610="Y"),"Done",IF(OR(AND($M610&lt;=TODAY(),$N610&lt;&gt;"Y"),AND($O610&lt;=TODAY(),$P610&lt;&gt;"Y"),AND($Q610&lt;=TODAY(),$R610&lt;&gt;"Y")),"DUE","Scheduled")))</f>
        <v/>
      </c>
      <c r="T610" s="20"/>
      <c r="U610" s="23" t="str">
        <f aca="false">IF($B610="","",IF(OR($T610&lt;=2,$I610="Editorial"),"REDO",""))</f>
        <v/>
      </c>
      <c r="V610" s="18" t="str">
        <f aca="false">IF($S610&lt;&gt;"DUE","",COUNTIF($S$3:$S610,"DUE"))</f>
        <v/>
      </c>
    </row>
    <row r="611" customFormat="false" ht="15" hidden="false" customHeight="false" outlineLevel="0" collapsed="false">
      <c r="A611" s="12" t="str">
        <f aca="false">IF($F611="","",ROW()-2)</f>
        <v/>
      </c>
      <c r="B611" s="19"/>
      <c r="C611" s="20"/>
      <c r="D611" s="21"/>
      <c r="E611" s="21"/>
      <c r="F611" s="21"/>
      <c r="G611" s="20"/>
      <c r="H611" s="21"/>
      <c r="I611" s="20"/>
      <c r="J611" s="20"/>
      <c r="K611" s="21"/>
      <c r="L611" s="21"/>
      <c r="M611" s="22" t="str">
        <f aca="false">IF($B611="","",$B611+2)</f>
        <v/>
      </c>
      <c r="N611" s="20"/>
      <c r="O611" s="22" t="str">
        <f aca="false">IF($B611="","",$B611+5)</f>
        <v/>
      </c>
      <c r="P611" s="20"/>
      <c r="Q611" s="22" t="str">
        <f aca="false">IF($B611="","",$B611+10)</f>
        <v/>
      </c>
      <c r="R611" s="20"/>
      <c r="S611" s="23" t="str">
        <f aca="true">IF($B611="","",IF(AND($N611="Y",$P611="Y",$R611="Y"),"Done",IF(OR(AND($M611&lt;=TODAY(),$N611&lt;&gt;"Y"),AND($O611&lt;=TODAY(),$P611&lt;&gt;"Y"),AND($Q611&lt;=TODAY(),$R611&lt;&gt;"Y")),"DUE","Scheduled")))</f>
        <v/>
      </c>
      <c r="T611" s="20"/>
      <c r="U611" s="23" t="str">
        <f aca="false">IF($B611="","",IF(OR($T611&lt;=2,$I611="Editorial"),"REDO",""))</f>
        <v/>
      </c>
      <c r="V611" s="18" t="str">
        <f aca="false">IF($S611&lt;&gt;"DUE","",COUNTIF($S$3:$S611,"DUE"))</f>
        <v/>
      </c>
    </row>
    <row r="612" customFormat="false" ht="15" hidden="false" customHeight="false" outlineLevel="0" collapsed="false">
      <c r="A612" s="12" t="str">
        <f aca="false">IF($F612="","",ROW()-2)</f>
        <v/>
      </c>
      <c r="B612" s="19"/>
      <c r="C612" s="20"/>
      <c r="D612" s="21"/>
      <c r="E612" s="21"/>
      <c r="F612" s="21"/>
      <c r="G612" s="20"/>
      <c r="H612" s="21"/>
      <c r="I612" s="20"/>
      <c r="J612" s="20"/>
      <c r="K612" s="21"/>
      <c r="L612" s="21"/>
      <c r="M612" s="22" t="str">
        <f aca="false">IF($B612="","",$B612+2)</f>
        <v/>
      </c>
      <c r="N612" s="20"/>
      <c r="O612" s="22" t="str">
        <f aca="false">IF($B612="","",$B612+5)</f>
        <v/>
      </c>
      <c r="P612" s="20"/>
      <c r="Q612" s="22" t="str">
        <f aca="false">IF($B612="","",$B612+10)</f>
        <v/>
      </c>
      <c r="R612" s="20"/>
      <c r="S612" s="23" t="str">
        <f aca="true">IF($B612="","",IF(AND($N612="Y",$P612="Y",$R612="Y"),"Done",IF(OR(AND($M612&lt;=TODAY(),$N612&lt;&gt;"Y"),AND($O612&lt;=TODAY(),$P612&lt;&gt;"Y"),AND($Q612&lt;=TODAY(),$R612&lt;&gt;"Y")),"DUE","Scheduled")))</f>
        <v/>
      </c>
      <c r="T612" s="20"/>
      <c r="U612" s="23" t="str">
        <f aca="false">IF($B612="","",IF(OR($T612&lt;=2,$I612="Editorial"),"REDO",""))</f>
        <v/>
      </c>
      <c r="V612" s="18" t="str">
        <f aca="false">IF($S612&lt;&gt;"DUE","",COUNTIF($S$3:$S612,"DUE"))</f>
        <v/>
      </c>
    </row>
    <row r="613" customFormat="false" ht="15" hidden="false" customHeight="false" outlineLevel="0" collapsed="false">
      <c r="A613" s="12" t="str">
        <f aca="false">IF($F613="","",ROW()-2)</f>
        <v/>
      </c>
      <c r="B613" s="19"/>
      <c r="C613" s="20"/>
      <c r="D613" s="21"/>
      <c r="E613" s="21"/>
      <c r="F613" s="21"/>
      <c r="G613" s="20"/>
      <c r="H613" s="21"/>
      <c r="I613" s="20"/>
      <c r="J613" s="20"/>
      <c r="K613" s="21"/>
      <c r="L613" s="21"/>
      <c r="M613" s="22" t="str">
        <f aca="false">IF($B613="","",$B613+2)</f>
        <v/>
      </c>
      <c r="N613" s="20"/>
      <c r="O613" s="22" t="str">
        <f aca="false">IF($B613="","",$B613+5)</f>
        <v/>
      </c>
      <c r="P613" s="20"/>
      <c r="Q613" s="22" t="str">
        <f aca="false">IF($B613="","",$B613+10)</f>
        <v/>
      </c>
      <c r="R613" s="20"/>
      <c r="S613" s="23" t="str">
        <f aca="true">IF($B613="","",IF(AND($N613="Y",$P613="Y",$R613="Y"),"Done",IF(OR(AND($M613&lt;=TODAY(),$N613&lt;&gt;"Y"),AND($O613&lt;=TODAY(),$P613&lt;&gt;"Y"),AND($Q613&lt;=TODAY(),$R613&lt;&gt;"Y")),"DUE","Scheduled")))</f>
        <v/>
      </c>
      <c r="T613" s="20"/>
      <c r="U613" s="23" t="str">
        <f aca="false">IF($B613="","",IF(OR($T613&lt;=2,$I613="Editorial"),"REDO",""))</f>
        <v/>
      </c>
      <c r="V613" s="18" t="str">
        <f aca="false">IF($S613&lt;&gt;"DUE","",COUNTIF($S$3:$S613,"DUE"))</f>
        <v/>
      </c>
    </row>
    <row r="614" customFormat="false" ht="15" hidden="false" customHeight="false" outlineLevel="0" collapsed="false">
      <c r="A614" s="12" t="str">
        <f aca="false">IF($F614="","",ROW()-2)</f>
        <v/>
      </c>
      <c r="B614" s="19"/>
      <c r="C614" s="20"/>
      <c r="D614" s="21"/>
      <c r="E614" s="21"/>
      <c r="F614" s="21"/>
      <c r="G614" s="20"/>
      <c r="H614" s="21"/>
      <c r="I614" s="20"/>
      <c r="J614" s="20"/>
      <c r="K614" s="21"/>
      <c r="L614" s="21"/>
      <c r="M614" s="22" t="str">
        <f aca="false">IF($B614="","",$B614+2)</f>
        <v/>
      </c>
      <c r="N614" s="20"/>
      <c r="O614" s="22" t="str">
        <f aca="false">IF($B614="","",$B614+5)</f>
        <v/>
      </c>
      <c r="P614" s="20"/>
      <c r="Q614" s="22" t="str">
        <f aca="false">IF($B614="","",$B614+10)</f>
        <v/>
      </c>
      <c r="R614" s="20"/>
      <c r="S614" s="23" t="str">
        <f aca="true">IF($B614="","",IF(AND($N614="Y",$P614="Y",$R614="Y"),"Done",IF(OR(AND($M614&lt;=TODAY(),$N614&lt;&gt;"Y"),AND($O614&lt;=TODAY(),$P614&lt;&gt;"Y"),AND($Q614&lt;=TODAY(),$R614&lt;&gt;"Y")),"DUE","Scheduled")))</f>
        <v/>
      </c>
      <c r="T614" s="20"/>
      <c r="U614" s="23" t="str">
        <f aca="false">IF($B614="","",IF(OR($T614&lt;=2,$I614="Editorial"),"REDO",""))</f>
        <v/>
      </c>
      <c r="V614" s="18" t="str">
        <f aca="false">IF($S614&lt;&gt;"DUE","",COUNTIF($S$3:$S614,"DUE"))</f>
        <v/>
      </c>
    </row>
    <row r="615" customFormat="false" ht="15" hidden="false" customHeight="false" outlineLevel="0" collapsed="false">
      <c r="A615" s="12" t="str">
        <f aca="false">IF($F615="","",ROW()-2)</f>
        <v/>
      </c>
      <c r="B615" s="19"/>
      <c r="C615" s="20"/>
      <c r="D615" s="21"/>
      <c r="E615" s="21"/>
      <c r="F615" s="21"/>
      <c r="G615" s="20"/>
      <c r="H615" s="21"/>
      <c r="I615" s="20"/>
      <c r="J615" s="20"/>
      <c r="K615" s="21"/>
      <c r="L615" s="21"/>
      <c r="M615" s="22" t="str">
        <f aca="false">IF($B615="","",$B615+2)</f>
        <v/>
      </c>
      <c r="N615" s="20"/>
      <c r="O615" s="22" t="str">
        <f aca="false">IF($B615="","",$B615+5)</f>
        <v/>
      </c>
      <c r="P615" s="20"/>
      <c r="Q615" s="22" t="str">
        <f aca="false">IF($B615="","",$B615+10)</f>
        <v/>
      </c>
      <c r="R615" s="20"/>
      <c r="S615" s="23" t="str">
        <f aca="true">IF($B615="","",IF(AND($N615="Y",$P615="Y",$R615="Y"),"Done",IF(OR(AND($M615&lt;=TODAY(),$N615&lt;&gt;"Y"),AND($O615&lt;=TODAY(),$P615&lt;&gt;"Y"),AND($Q615&lt;=TODAY(),$R615&lt;&gt;"Y")),"DUE","Scheduled")))</f>
        <v/>
      </c>
      <c r="T615" s="20"/>
      <c r="U615" s="23" t="str">
        <f aca="false">IF($B615="","",IF(OR($T615&lt;=2,$I615="Editorial"),"REDO",""))</f>
        <v/>
      </c>
      <c r="V615" s="18" t="str">
        <f aca="false">IF($S615&lt;&gt;"DUE","",COUNTIF($S$3:$S615,"DUE"))</f>
        <v/>
      </c>
    </row>
    <row r="616" customFormat="false" ht="15" hidden="false" customHeight="false" outlineLevel="0" collapsed="false">
      <c r="A616" s="12" t="str">
        <f aca="false">IF($F616="","",ROW()-2)</f>
        <v/>
      </c>
      <c r="B616" s="19"/>
      <c r="C616" s="20"/>
      <c r="D616" s="21"/>
      <c r="E616" s="21"/>
      <c r="F616" s="21"/>
      <c r="G616" s="20"/>
      <c r="H616" s="21"/>
      <c r="I616" s="20"/>
      <c r="J616" s="20"/>
      <c r="K616" s="21"/>
      <c r="L616" s="21"/>
      <c r="M616" s="22" t="str">
        <f aca="false">IF($B616="","",$B616+2)</f>
        <v/>
      </c>
      <c r="N616" s="20"/>
      <c r="O616" s="22" t="str">
        <f aca="false">IF($B616="","",$B616+5)</f>
        <v/>
      </c>
      <c r="P616" s="20"/>
      <c r="Q616" s="22" t="str">
        <f aca="false">IF($B616="","",$B616+10)</f>
        <v/>
      </c>
      <c r="R616" s="20"/>
      <c r="S616" s="23" t="str">
        <f aca="true">IF($B616="","",IF(AND($N616="Y",$P616="Y",$R616="Y"),"Done",IF(OR(AND($M616&lt;=TODAY(),$N616&lt;&gt;"Y"),AND($O616&lt;=TODAY(),$P616&lt;&gt;"Y"),AND($Q616&lt;=TODAY(),$R616&lt;&gt;"Y")),"DUE","Scheduled")))</f>
        <v/>
      </c>
      <c r="T616" s="20"/>
      <c r="U616" s="23" t="str">
        <f aca="false">IF($B616="","",IF(OR($T616&lt;=2,$I616="Editorial"),"REDO",""))</f>
        <v/>
      </c>
      <c r="V616" s="18" t="str">
        <f aca="false">IF($S616&lt;&gt;"DUE","",COUNTIF($S$3:$S616,"DUE"))</f>
        <v/>
      </c>
    </row>
    <row r="617" customFormat="false" ht="15" hidden="false" customHeight="false" outlineLevel="0" collapsed="false">
      <c r="A617" s="12" t="str">
        <f aca="false">IF($F617="","",ROW()-2)</f>
        <v/>
      </c>
      <c r="B617" s="19"/>
      <c r="C617" s="20"/>
      <c r="D617" s="21"/>
      <c r="E617" s="21"/>
      <c r="F617" s="21"/>
      <c r="G617" s="20"/>
      <c r="H617" s="21"/>
      <c r="I617" s="20"/>
      <c r="J617" s="20"/>
      <c r="K617" s="21"/>
      <c r="L617" s="21"/>
      <c r="M617" s="22" t="str">
        <f aca="false">IF($B617="","",$B617+2)</f>
        <v/>
      </c>
      <c r="N617" s="20"/>
      <c r="O617" s="22" t="str">
        <f aca="false">IF($B617="","",$B617+5)</f>
        <v/>
      </c>
      <c r="P617" s="20"/>
      <c r="Q617" s="22" t="str">
        <f aca="false">IF($B617="","",$B617+10)</f>
        <v/>
      </c>
      <c r="R617" s="20"/>
      <c r="S617" s="23" t="str">
        <f aca="true">IF($B617="","",IF(AND($N617="Y",$P617="Y",$R617="Y"),"Done",IF(OR(AND($M617&lt;=TODAY(),$N617&lt;&gt;"Y"),AND($O617&lt;=TODAY(),$P617&lt;&gt;"Y"),AND($Q617&lt;=TODAY(),$R617&lt;&gt;"Y")),"DUE","Scheduled")))</f>
        <v/>
      </c>
      <c r="T617" s="20"/>
      <c r="U617" s="23" t="str">
        <f aca="false">IF($B617="","",IF(OR($T617&lt;=2,$I617="Editorial"),"REDO",""))</f>
        <v/>
      </c>
      <c r="V617" s="18" t="str">
        <f aca="false">IF($S617&lt;&gt;"DUE","",COUNTIF($S$3:$S617,"DUE"))</f>
        <v/>
      </c>
    </row>
    <row r="618" customFormat="false" ht="15" hidden="false" customHeight="false" outlineLevel="0" collapsed="false">
      <c r="A618" s="12" t="str">
        <f aca="false">IF($F618="","",ROW()-2)</f>
        <v/>
      </c>
      <c r="B618" s="19"/>
      <c r="C618" s="20"/>
      <c r="D618" s="21"/>
      <c r="E618" s="21"/>
      <c r="F618" s="21"/>
      <c r="G618" s="20"/>
      <c r="H618" s="21"/>
      <c r="I618" s="20"/>
      <c r="J618" s="20"/>
      <c r="K618" s="21"/>
      <c r="L618" s="21"/>
      <c r="M618" s="22" t="str">
        <f aca="false">IF($B618="","",$B618+2)</f>
        <v/>
      </c>
      <c r="N618" s="20"/>
      <c r="O618" s="22" t="str">
        <f aca="false">IF($B618="","",$B618+5)</f>
        <v/>
      </c>
      <c r="P618" s="20"/>
      <c r="Q618" s="22" t="str">
        <f aca="false">IF($B618="","",$B618+10)</f>
        <v/>
      </c>
      <c r="R618" s="20"/>
      <c r="S618" s="23" t="str">
        <f aca="true">IF($B618="","",IF(AND($N618="Y",$P618="Y",$R618="Y"),"Done",IF(OR(AND($M618&lt;=TODAY(),$N618&lt;&gt;"Y"),AND($O618&lt;=TODAY(),$P618&lt;&gt;"Y"),AND($Q618&lt;=TODAY(),$R618&lt;&gt;"Y")),"DUE","Scheduled")))</f>
        <v/>
      </c>
      <c r="T618" s="20"/>
      <c r="U618" s="23" t="str">
        <f aca="false">IF($B618="","",IF(OR($T618&lt;=2,$I618="Editorial"),"REDO",""))</f>
        <v/>
      </c>
      <c r="V618" s="18" t="str">
        <f aca="false">IF($S618&lt;&gt;"DUE","",COUNTIF($S$3:$S618,"DUE"))</f>
        <v/>
      </c>
    </row>
    <row r="619" customFormat="false" ht="15" hidden="false" customHeight="false" outlineLevel="0" collapsed="false">
      <c r="A619" s="12" t="str">
        <f aca="false">IF($F619="","",ROW()-2)</f>
        <v/>
      </c>
      <c r="B619" s="19"/>
      <c r="C619" s="20"/>
      <c r="D619" s="21"/>
      <c r="E619" s="21"/>
      <c r="F619" s="21"/>
      <c r="G619" s="20"/>
      <c r="H619" s="21"/>
      <c r="I619" s="20"/>
      <c r="J619" s="20"/>
      <c r="K619" s="21"/>
      <c r="L619" s="21"/>
      <c r="M619" s="22" t="str">
        <f aca="false">IF($B619="","",$B619+2)</f>
        <v/>
      </c>
      <c r="N619" s="20"/>
      <c r="O619" s="22" t="str">
        <f aca="false">IF($B619="","",$B619+5)</f>
        <v/>
      </c>
      <c r="P619" s="20"/>
      <c r="Q619" s="22" t="str">
        <f aca="false">IF($B619="","",$B619+10)</f>
        <v/>
      </c>
      <c r="R619" s="20"/>
      <c r="S619" s="23" t="str">
        <f aca="true">IF($B619="","",IF(AND($N619="Y",$P619="Y",$R619="Y"),"Done",IF(OR(AND($M619&lt;=TODAY(),$N619&lt;&gt;"Y"),AND($O619&lt;=TODAY(),$P619&lt;&gt;"Y"),AND($Q619&lt;=TODAY(),$R619&lt;&gt;"Y")),"DUE","Scheduled")))</f>
        <v/>
      </c>
      <c r="T619" s="20"/>
      <c r="U619" s="23" t="str">
        <f aca="false">IF($B619="","",IF(OR($T619&lt;=2,$I619="Editorial"),"REDO",""))</f>
        <v/>
      </c>
      <c r="V619" s="18" t="str">
        <f aca="false">IF($S619&lt;&gt;"DUE","",COUNTIF($S$3:$S619,"DUE"))</f>
        <v/>
      </c>
    </row>
    <row r="620" customFormat="false" ht="15" hidden="false" customHeight="false" outlineLevel="0" collapsed="false">
      <c r="A620" s="12" t="str">
        <f aca="false">IF($F620="","",ROW()-2)</f>
        <v/>
      </c>
      <c r="B620" s="19"/>
      <c r="C620" s="20"/>
      <c r="D620" s="21"/>
      <c r="E620" s="21"/>
      <c r="F620" s="21"/>
      <c r="G620" s="20"/>
      <c r="H620" s="21"/>
      <c r="I620" s="20"/>
      <c r="J620" s="20"/>
      <c r="K620" s="21"/>
      <c r="L620" s="21"/>
      <c r="M620" s="22" t="str">
        <f aca="false">IF($B620="","",$B620+2)</f>
        <v/>
      </c>
      <c r="N620" s="20"/>
      <c r="O620" s="22" t="str">
        <f aca="false">IF($B620="","",$B620+5)</f>
        <v/>
      </c>
      <c r="P620" s="20"/>
      <c r="Q620" s="22" t="str">
        <f aca="false">IF($B620="","",$B620+10)</f>
        <v/>
      </c>
      <c r="R620" s="20"/>
      <c r="S620" s="23" t="str">
        <f aca="true">IF($B620="","",IF(AND($N620="Y",$P620="Y",$R620="Y"),"Done",IF(OR(AND($M620&lt;=TODAY(),$N620&lt;&gt;"Y"),AND($O620&lt;=TODAY(),$P620&lt;&gt;"Y"),AND($Q620&lt;=TODAY(),$R620&lt;&gt;"Y")),"DUE","Scheduled")))</f>
        <v/>
      </c>
      <c r="T620" s="20"/>
      <c r="U620" s="23" t="str">
        <f aca="false">IF($B620="","",IF(OR($T620&lt;=2,$I620="Editorial"),"REDO",""))</f>
        <v/>
      </c>
      <c r="V620" s="18" t="str">
        <f aca="false">IF($S620&lt;&gt;"DUE","",COUNTIF($S$3:$S620,"DUE"))</f>
        <v/>
      </c>
    </row>
    <row r="621" customFormat="false" ht="15" hidden="false" customHeight="false" outlineLevel="0" collapsed="false">
      <c r="A621" s="12" t="str">
        <f aca="false">IF($F621="","",ROW()-2)</f>
        <v/>
      </c>
      <c r="B621" s="19"/>
      <c r="C621" s="20"/>
      <c r="D621" s="21"/>
      <c r="E621" s="21"/>
      <c r="F621" s="21"/>
      <c r="G621" s="20"/>
      <c r="H621" s="21"/>
      <c r="I621" s="20"/>
      <c r="J621" s="20"/>
      <c r="K621" s="21"/>
      <c r="L621" s="21"/>
      <c r="M621" s="22" t="str">
        <f aca="false">IF($B621="","",$B621+2)</f>
        <v/>
      </c>
      <c r="N621" s="20"/>
      <c r="O621" s="22" t="str">
        <f aca="false">IF($B621="","",$B621+5)</f>
        <v/>
      </c>
      <c r="P621" s="20"/>
      <c r="Q621" s="22" t="str">
        <f aca="false">IF($B621="","",$B621+10)</f>
        <v/>
      </c>
      <c r="R621" s="20"/>
      <c r="S621" s="23" t="str">
        <f aca="true">IF($B621="","",IF(AND($N621="Y",$P621="Y",$R621="Y"),"Done",IF(OR(AND($M621&lt;=TODAY(),$N621&lt;&gt;"Y"),AND($O621&lt;=TODAY(),$P621&lt;&gt;"Y"),AND($Q621&lt;=TODAY(),$R621&lt;&gt;"Y")),"DUE","Scheduled")))</f>
        <v/>
      </c>
      <c r="T621" s="20"/>
      <c r="U621" s="23" t="str">
        <f aca="false">IF($B621="","",IF(OR($T621&lt;=2,$I621="Editorial"),"REDO",""))</f>
        <v/>
      </c>
      <c r="V621" s="18" t="str">
        <f aca="false">IF($S621&lt;&gt;"DUE","",COUNTIF($S$3:$S621,"DUE"))</f>
        <v/>
      </c>
    </row>
    <row r="622" customFormat="false" ht="15" hidden="false" customHeight="false" outlineLevel="0" collapsed="false">
      <c r="A622" s="12" t="str">
        <f aca="false">IF($F622="","",ROW()-2)</f>
        <v/>
      </c>
      <c r="B622" s="19"/>
      <c r="C622" s="20"/>
      <c r="D622" s="21"/>
      <c r="E622" s="21"/>
      <c r="F622" s="21"/>
      <c r="G622" s="20"/>
      <c r="H622" s="21"/>
      <c r="I622" s="20"/>
      <c r="J622" s="20"/>
      <c r="K622" s="21"/>
      <c r="L622" s="21"/>
      <c r="M622" s="22" t="str">
        <f aca="false">IF($B622="","",$B622+2)</f>
        <v/>
      </c>
      <c r="N622" s="20"/>
      <c r="O622" s="22" t="str">
        <f aca="false">IF($B622="","",$B622+5)</f>
        <v/>
      </c>
      <c r="P622" s="20"/>
      <c r="Q622" s="22" t="str">
        <f aca="false">IF($B622="","",$B622+10)</f>
        <v/>
      </c>
      <c r="R622" s="20"/>
      <c r="S622" s="23" t="str">
        <f aca="true">IF($B622="","",IF(AND($N622="Y",$P622="Y",$R622="Y"),"Done",IF(OR(AND($M622&lt;=TODAY(),$N622&lt;&gt;"Y"),AND($O622&lt;=TODAY(),$P622&lt;&gt;"Y"),AND($Q622&lt;=TODAY(),$R622&lt;&gt;"Y")),"DUE","Scheduled")))</f>
        <v/>
      </c>
      <c r="T622" s="20"/>
      <c r="U622" s="23" t="str">
        <f aca="false">IF($B622="","",IF(OR($T622&lt;=2,$I622="Editorial"),"REDO",""))</f>
        <v/>
      </c>
      <c r="V622" s="18" t="str">
        <f aca="false">IF($S622&lt;&gt;"DUE","",COUNTIF($S$3:$S622,"DUE"))</f>
        <v/>
      </c>
    </row>
    <row r="623" customFormat="false" ht="15" hidden="false" customHeight="false" outlineLevel="0" collapsed="false">
      <c r="A623" s="12" t="str">
        <f aca="false">IF($F623="","",ROW()-2)</f>
        <v/>
      </c>
      <c r="B623" s="19"/>
      <c r="C623" s="20"/>
      <c r="D623" s="21"/>
      <c r="E623" s="21"/>
      <c r="F623" s="21"/>
      <c r="G623" s="20"/>
      <c r="H623" s="21"/>
      <c r="I623" s="20"/>
      <c r="J623" s="20"/>
      <c r="K623" s="21"/>
      <c r="L623" s="21"/>
      <c r="M623" s="22" t="str">
        <f aca="false">IF($B623="","",$B623+2)</f>
        <v/>
      </c>
      <c r="N623" s="20"/>
      <c r="O623" s="22" t="str">
        <f aca="false">IF($B623="","",$B623+5)</f>
        <v/>
      </c>
      <c r="P623" s="20"/>
      <c r="Q623" s="22" t="str">
        <f aca="false">IF($B623="","",$B623+10)</f>
        <v/>
      </c>
      <c r="R623" s="20"/>
      <c r="S623" s="23" t="str">
        <f aca="true">IF($B623="","",IF(AND($N623="Y",$P623="Y",$R623="Y"),"Done",IF(OR(AND($M623&lt;=TODAY(),$N623&lt;&gt;"Y"),AND($O623&lt;=TODAY(),$P623&lt;&gt;"Y"),AND($Q623&lt;=TODAY(),$R623&lt;&gt;"Y")),"DUE","Scheduled")))</f>
        <v/>
      </c>
      <c r="T623" s="20"/>
      <c r="U623" s="23" t="str">
        <f aca="false">IF($B623="","",IF(OR($T623&lt;=2,$I623="Editorial"),"REDO",""))</f>
        <v/>
      </c>
      <c r="V623" s="18" t="str">
        <f aca="false">IF($S623&lt;&gt;"DUE","",COUNTIF($S$3:$S623,"DUE"))</f>
        <v/>
      </c>
    </row>
    <row r="624" customFormat="false" ht="15" hidden="false" customHeight="false" outlineLevel="0" collapsed="false">
      <c r="A624" s="12" t="str">
        <f aca="false">IF($F624="","",ROW()-2)</f>
        <v/>
      </c>
      <c r="B624" s="19"/>
      <c r="C624" s="20"/>
      <c r="D624" s="21"/>
      <c r="E624" s="21"/>
      <c r="F624" s="21"/>
      <c r="G624" s="20"/>
      <c r="H624" s="21"/>
      <c r="I624" s="20"/>
      <c r="J624" s="20"/>
      <c r="K624" s="21"/>
      <c r="L624" s="21"/>
      <c r="M624" s="22" t="str">
        <f aca="false">IF($B624="","",$B624+2)</f>
        <v/>
      </c>
      <c r="N624" s="20"/>
      <c r="O624" s="22" t="str">
        <f aca="false">IF($B624="","",$B624+5)</f>
        <v/>
      </c>
      <c r="P624" s="20"/>
      <c r="Q624" s="22" t="str">
        <f aca="false">IF($B624="","",$B624+10)</f>
        <v/>
      </c>
      <c r="R624" s="20"/>
      <c r="S624" s="23" t="str">
        <f aca="true">IF($B624="","",IF(AND($N624="Y",$P624="Y",$R624="Y"),"Done",IF(OR(AND($M624&lt;=TODAY(),$N624&lt;&gt;"Y"),AND($O624&lt;=TODAY(),$P624&lt;&gt;"Y"),AND($Q624&lt;=TODAY(),$R624&lt;&gt;"Y")),"DUE","Scheduled")))</f>
        <v/>
      </c>
      <c r="T624" s="20"/>
      <c r="U624" s="23" t="str">
        <f aca="false">IF($B624="","",IF(OR($T624&lt;=2,$I624="Editorial"),"REDO",""))</f>
        <v/>
      </c>
      <c r="V624" s="18" t="str">
        <f aca="false">IF($S624&lt;&gt;"DUE","",COUNTIF($S$3:$S624,"DUE"))</f>
        <v/>
      </c>
    </row>
    <row r="625" customFormat="false" ht="15" hidden="false" customHeight="false" outlineLevel="0" collapsed="false">
      <c r="A625" s="12" t="str">
        <f aca="false">IF($F625="","",ROW()-2)</f>
        <v/>
      </c>
      <c r="B625" s="19"/>
      <c r="C625" s="20"/>
      <c r="D625" s="21"/>
      <c r="E625" s="21"/>
      <c r="F625" s="21"/>
      <c r="G625" s="20"/>
      <c r="H625" s="21"/>
      <c r="I625" s="20"/>
      <c r="J625" s="20"/>
      <c r="K625" s="21"/>
      <c r="L625" s="21"/>
      <c r="M625" s="22" t="str">
        <f aca="false">IF($B625="","",$B625+2)</f>
        <v/>
      </c>
      <c r="N625" s="20"/>
      <c r="O625" s="22" t="str">
        <f aca="false">IF($B625="","",$B625+5)</f>
        <v/>
      </c>
      <c r="P625" s="20"/>
      <c r="Q625" s="22" t="str">
        <f aca="false">IF($B625="","",$B625+10)</f>
        <v/>
      </c>
      <c r="R625" s="20"/>
      <c r="S625" s="23" t="str">
        <f aca="true">IF($B625="","",IF(AND($N625="Y",$P625="Y",$R625="Y"),"Done",IF(OR(AND($M625&lt;=TODAY(),$N625&lt;&gt;"Y"),AND($O625&lt;=TODAY(),$P625&lt;&gt;"Y"),AND($Q625&lt;=TODAY(),$R625&lt;&gt;"Y")),"DUE","Scheduled")))</f>
        <v/>
      </c>
      <c r="T625" s="20"/>
      <c r="U625" s="23" t="str">
        <f aca="false">IF($B625="","",IF(OR($T625&lt;=2,$I625="Editorial"),"REDO",""))</f>
        <v/>
      </c>
      <c r="V625" s="18" t="str">
        <f aca="false">IF($S625&lt;&gt;"DUE","",COUNTIF($S$3:$S625,"DUE"))</f>
        <v/>
      </c>
    </row>
    <row r="626" customFormat="false" ht="15" hidden="false" customHeight="false" outlineLevel="0" collapsed="false">
      <c r="A626" s="12" t="str">
        <f aca="false">IF($F626="","",ROW()-2)</f>
        <v/>
      </c>
      <c r="B626" s="19"/>
      <c r="C626" s="20"/>
      <c r="D626" s="21"/>
      <c r="E626" s="21"/>
      <c r="F626" s="21"/>
      <c r="G626" s="20"/>
      <c r="H626" s="21"/>
      <c r="I626" s="20"/>
      <c r="J626" s="20"/>
      <c r="K626" s="21"/>
      <c r="L626" s="21"/>
      <c r="M626" s="22" t="str">
        <f aca="false">IF($B626="","",$B626+2)</f>
        <v/>
      </c>
      <c r="N626" s="20"/>
      <c r="O626" s="22" t="str">
        <f aca="false">IF($B626="","",$B626+5)</f>
        <v/>
      </c>
      <c r="P626" s="20"/>
      <c r="Q626" s="22" t="str">
        <f aca="false">IF($B626="","",$B626+10)</f>
        <v/>
      </c>
      <c r="R626" s="20"/>
      <c r="S626" s="23" t="str">
        <f aca="true">IF($B626="","",IF(AND($N626="Y",$P626="Y",$R626="Y"),"Done",IF(OR(AND($M626&lt;=TODAY(),$N626&lt;&gt;"Y"),AND($O626&lt;=TODAY(),$P626&lt;&gt;"Y"),AND($Q626&lt;=TODAY(),$R626&lt;&gt;"Y")),"DUE","Scheduled")))</f>
        <v/>
      </c>
      <c r="T626" s="20"/>
      <c r="U626" s="23" t="str">
        <f aca="false">IF($B626="","",IF(OR($T626&lt;=2,$I626="Editorial"),"REDO",""))</f>
        <v/>
      </c>
      <c r="V626" s="18" t="str">
        <f aca="false">IF($S626&lt;&gt;"DUE","",COUNTIF($S$3:$S626,"DUE"))</f>
        <v/>
      </c>
    </row>
    <row r="627" customFormat="false" ht="15" hidden="false" customHeight="false" outlineLevel="0" collapsed="false">
      <c r="A627" s="12" t="str">
        <f aca="false">IF($F627="","",ROW()-2)</f>
        <v/>
      </c>
      <c r="B627" s="19"/>
      <c r="C627" s="20"/>
      <c r="D627" s="21"/>
      <c r="E627" s="21"/>
      <c r="F627" s="21"/>
      <c r="G627" s="20"/>
      <c r="H627" s="21"/>
      <c r="I627" s="20"/>
      <c r="J627" s="20"/>
      <c r="K627" s="21"/>
      <c r="L627" s="21"/>
      <c r="M627" s="22" t="str">
        <f aca="false">IF($B627="","",$B627+2)</f>
        <v/>
      </c>
      <c r="N627" s="20"/>
      <c r="O627" s="22" t="str">
        <f aca="false">IF($B627="","",$B627+5)</f>
        <v/>
      </c>
      <c r="P627" s="20"/>
      <c r="Q627" s="22" t="str">
        <f aca="false">IF($B627="","",$B627+10)</f>
        <v/>
      </c>
      <c r="R627" s="20"/>
      <c r="S627" s="23" t="str">
        <f aca="true">IF($B627="","",IF(AND($N627="Y",$P627="Y",$R627="Y"),"Done",IF(OR(AND($M627&lt;=TODAY(),$N627&lt;&gt;"Y"),AND($O627&lt;=TODAY(),$P627&lt;&gt;"Y"),AND($Q627&lt;=TODAY(),$R627&lt;&gt;"Y")),"DUE","Scheduled")))</f>
        <v/>
      </c>
      <c r="T627" s="20"/>
      <c r="U627" s="23" t="str">
        <f aca="false">IF($B627="","",IF(OR($T627&lt;=2,$I627="Editorial"),"REDO",""))</f>
        <v/>
      </c>
      <c r="V627" s="18" t="str">
        <f aca="false">IF($S627&lt;&gt;"DUE","",COUNTIF($S$3:$S627,"DUE"))</f>
        <v/>
      </c>
    </row>
    <row r="628" customFormat="false" ht="15" hidden="false" customHeight="false" outlineLevel="0" collapsed="false">
      <c r="A628" s="12" t="str">
        <f aca="false">IF($F628="","",ROW()-2)</f>
        <v/>
      </c>
      <c r="B628" s="19"/>
      <c r="C628" s="20"/>
      <c r="D628" s="21"/>
      <c r="E628" s="21"/>
      <c r="F628" s="21"/>
      <c r="G628" s="20"/>
      <c r="H628" s="21"/>
      <c r="I628" s="20"/>
      <c r="J628" s="20"/>
      <c r="K628" s="21"/>
      <c r="L628" s="21"/>
      <c r="M628" s="22" t="str">
        <f aca="false">IF($B628="","",$B628+2)</f>
        <v/>
      </c>
      <c r="N628" s="20"/>
      <c r="O628" s="22" t="str">
        <f aca="false">IF($B628="","",$B628+5)</f>
        <v/>
      </c>
      <c r="P628" s="20"/>
      <c r="Q628" s="22" t="str">
        <f aca="false">IF($B628="","",$B628+10)</f>
        <v/>
      </c>
      <c r="R628" s="20"/>
      <c r="S628" s="23" t="str">
        <f aca="true">IF($B628="","",IF(AND($N628="Y",$P628="Y",$R628="Y"),"Done",IF(OR(AND($M628&lt;=TODAY(),$N628&lt;&gt;"Y"),AND($O628&lt;=TODAY(),$P628&lt;&gt;"Y"),AND($Q628&lt;=TODAY(),$R628&lt;&gt;"Y")),"DUE","Scheduled")))</f>
        <v/>
      </c>
      <c r="T628" s="20"/>
      <c r="U628" s="23" t="str">
        <f aca="false">IF($B628="","",IF(OR($T628&lt;=2,$I628="Editorial"),"REDO",""))</f>
        <v/>
      </c>
      <c r="V628" s="18" t="str">
        <f aca="false">IF($S628&lt;&gt;"DUE","",COUNTIF($S$3:$S628,"DUE"))</f>
        <v/>
      </c>
    </row>
    <row r="629" customFormat="false" ht="15" hidden="false" customHeight="false" outlineLevel="0" collapsed="false">
      <c r="A629" s="12" t="str">
        <f aca="false">IF($F629="","",ROW()-2)</f>
        <v/>
      </c>
      <c r="B629" s="19"/>
      <c r="C629" s="20"/>
      <c r="D629" s="21"/>
      <c r="E629" s="21"/>
      <c r="F629" s="21"/>
      <c r="G629" s="20"/>
      <c r="H629" s="21"/>
      <c r="I629" s="20"/>
      <c r="J629" s="20"/>
      <c r="K629" s="21"/>
      <c r="L629" s="21"/>
      <c r="M629" s="22" t="str">
        <f aca="false">IF($B629="","",$B629+2)</f>
        <v/>
      </c>
      <c r="N629" s="20"/>
      <c r="O629" s="22" t="str">
        <f aca="false">IF($B629="","",$B629+5)</f>
        <v/>
      </c>
      <c r="P629" s="20"/>
      <c r="Q629" s="22" t="str">
        <f aca="false">IF($B629="","",$B629+10)</f>
        <v/>
      </c>
      <c r="R629" s="20"/>
      <c r="S629" s="23" t="str">
        <f aca="true">IF($B629="","",IF(AND($N629="Y",$P629="Y",$R629="Y"),"Done",IF(OR(AND($M629&lt;=TODAY(),$N629&lt;&gt;"Y"),AND($O629&lt;=TODAY(),$P629&lt;&gt;"Y"),AND($Q629&lt;=TODAY(),$R629&lt;&gt;"Y")),"DUE","Scheduled")))</f>
        <v/>
      </c>
      <c r="T629" s="20"/>
      <c r="U629" s="23" t="str">
        <f aca="false">IF($B629="","",IF(OR($T629&lt;=2,$I629="Editorial"),"REDO",""))</f>
        <v/>
      </c>
      <c r="V629" s="18" t="str">
        <f aca="false">IF($S629&lt;&gt;"DUE","",COUNTIF($S$3:$S629,"DUE"))</f>
        <v/>
      </c>
    </row>
    <row r="630" customFormat="false" ht="15" hidden="false" customHeight="false" outlineLevel="0" collapsed="false">
      <c r="A630" s="12" t="str">
        <f aca="false">IF($F630="","",ROW()-2)</f>
        <v/>
      </c>
      <c r="B630" s="19"/>
      <c r="C630" s="20"/>
      <c r="D630" s="21"/>
      <c r="E630" s="21"/>
      <c r="F630" s="21"/>
      <c r="G630" s="20"/>
      <c r="H630" s="21"/>
      <c r="I630" s="20"/>
      <c r="J630" s="20"/>
      <c r="K630" s="21"/>
      <c r="L630" s="21"/>
      <c r="M630" s="22" t="str">
        <f aca="false">IF($B630="","",$B630+2)</f>
        <v/>
      </c>
      <c r="N630" s="20"/>
      <c r="O630" s="22" t="str">
        <f aca="false">IF($B630="","",$B630+5)</f>
        <v/>
      </c>
      <c r="P630" s="20"/>
      <c r="Q630" s="22" t="str">
        <f aca="false">IF($B630="","",$B630+10)</f>
        <v/>
      </c>
      <c r="R630" s="20"/>
      <c r="S630" s="23" t="str">
        <f aca="true">IF($B630="","",IF(AND($N630="Y",$P630="Y",$R630="Y"),"Done",IF(OR(AND($M630&lt;=TODAY(),$N630&lt;&gt;"Y"),AND($O630&lt;=TODAY(),$P630&lt;&gt;"Y"),AND($Q630&lt;=TODAY(),$R630&lt;&gt;"Y")),"DUE","Scheduled")))</f>
        <v/>
      </c>
      <c r="T630" s="20"/>
      <c r="U630" s="23" t="str">
        <f aca="false">IF($B630="","",IF(OR($T630&lt;=2,$I630="Editorial"),"REDO",""))</f>
        <v/>
      </c>
      <c r="V630" s="18" t="str">
        <f aca="false">IF($S630&lt;&gt;"DUE","",COUNTIF($S$3:$S630,"DUE"))</f>
        <v/>
      </c>
    </row>
    <row r="631" customFormat="false" ht="15" hidden="false" customHeight="false" outlineLevel="0" collapsed="false">
      <c r="A631" s="12" t="str">
        <f aca="false">IF($F631="","",ROW()-2)</f>
        <v/>
      </c>
      <c r="B631" s="19"/>
      <c r="C631" s="20"/>
      <c r="D631" s="21"/>
      <c r="E631" s="21"/>
      <c r="F631" s="21"/>
      <c r="G631" s="20"/>
      <c r="H631" s="21"/>
      <c r="I631" s="20"/>
      <c r="J631" s="20"/>
      <c r="K631" s="21"/>
      <c r="L631" s="21"/>
      <c r="M631" s="22" t="str">
        <f aca="false">IF($B631="","",$B631+2)</f>
        <v/>
      </c>
      <c r="N631" s="20"/>
      <c r="O631" s="22" t="str">
        <f aca="false">IF($B631="","",$B631+5)</f>
        <v/>
      </c>
      <c r="P631" s="20"/>
      <c r="Q631" s="22" t="str">
        <f aca="false">IF($B631="","",$B631+10)</f>
        <v/>
      </c>
      <c r="R631" s="20"/>
      <c r="S631" s="23" t="str">
        <f aca="true">IF($B631="","",IF(AND($N631="Y",$P631="Y",$R631="Y"),"Done",IF(OR(AND($M631&lt;=TODAY(),$N631&lt;&gt;"Y"),AND($O631&lt;=TODAY(),$P631&lt;&gt;"Y"),AND($Q631&lt;=TODAY(),$R631&lt;&gt;"Y")),"DUE","Scheduled")))</f>
        <v/>
      </c>
      <c r="T631" s="20"/>
      <c r="U631" s="23" t="str">
        <f aca="false">IF($B631="","",IF(OR($T631&lt;=2,$I631="Editorial"),"REDO",""))</f>
        <v/>
      </c>
      <c r="V631" s="18" t="str">
        <f aca="false">IF($S631&lt;&gt;"DUE","",COUNTIF($S$3:$S631,"DUE"))</f>
        <v/>
      </c>
    </row>
    <row r="632" customFormat="false" ht="15" hidden="false" customHeight="false" outlineLevel="0" collapsed="false">
      <c r="A632" s="12" t="str">
        <f aca="false">IF($F632="","",ROW()-2)</f>
        <v/>
      </c>
      <c r="B632" s="19"/>
      <c r="C632" s="20"/>
      <c r="D632" s="21"/>
      <c r="E632" s="21"/>
      <c r="F632" s="21"/>
      <c r="G632" s="20"/>
      <c r="H632" s="21"/>
      <c r="I632" s="20"/>
      <c r="J632" s="20"/>
      <c r="K632" s="21"/>
      <c r="L632" s="21"/>
      <c r="M632" s="22" t="str">
        <f aca="false">IF($B632="","",$B632+2)</f>
        <v/>
      </c>
      <c r="N632" s="20"/>
      <c r="O632" s="22" t="str">
        <f aca="false">IF($B632="","",$B632+5)</f>
        <v/>
      </c>
      <c r="P632" s="20"/>
      <c r="Q632" s="22" t="str">
        <f aca="false">IF($B632="","",$B632+10)</f>
        <v/>
      </c>
      <c r="R632" s="20"/>
      <c r="S632" s="23" t="str">
        <f aca="true">IF($B632="","",IF(AND($N632="Y",$P632="Y",$R632="Y"),"Done",IF(OR(AND($M632&lt;=TODAY(),$N632&lt;&gt;"Y"),AND($O632&lt;=TODAY(),$P632&lt;&gt;"Y"),AND($Q632&lt;=TODAY(),$R632&lt;&gt;"Y")),"DUE","Scheduled")))</f>
        <v/>
      </c>
      <c r="T632" s="20"/>
      <c r="U632" s="23" t="str">
        <f aca="false">IF($B632="","",IF(OR($T632&lt;=2,$I632="Editorial"),"REDO",""))</f>
        <v/>
      </c>
      <c r="V632" s="18" t="str">
        <f aca="false">IF($S632&lt;&gt;"DUE","",COUNTIF($S$3:$S632,"DUE"))</f>
        <v/>
      </c>
    </row>
    <row r="633" customFormat="false" ht="15" hidden="false" customHeight="false" outlineLevel="0" collapsed="false">
      <c r="A633" s="12" t="str">
        <f aca="false">IF($F633="","",ROW()-2)</f>
        <v/>
      </c>
      <c r="B633" s="19"/>
      <c r="C633" s="20"/>
      <c r="D633" s="21"/>
      <c r="E633" s="21"/>
      <c r="F633" s="21"/>
      <c r="G633" s="20"/>
      <c r="H633" s="21"/>
      <c r="I633" s="20"/>
      <c r="J633" s="20"/>
      <c r="K633" s="21"/>
      <c r="L633" s="21"/>
      <c r="M633" s="22" t="str">
        <f aca="false">IF($B633="","",$B633+2)</f>
        <v/>
      </c>
      <c r="N633" s="20"/>
      <c r="O633" s="22" t="str">
        <f aca="false">IF($B633="","",$B633+5)</f>
        <v/>
      </c>
      <c r="P633" s="20"/>
      <c r="Q633" s="22" t="str">
        <f aca="false">IF($B633="","",$B633+10)</f>
        <v/>
      </c>
      <c r="R633" s="20"/>
      <c r="S633" s="23" t="str">
        <f aca="true">IF($B633="","",IF(AND($N633="Y",$P633="Y",$R633="Y"),"Done",IF(OR(AND($M633&lt;=TODAY(),$N633&lt;&gt;"Y"),AND($O633&lt;=TODAY(),$P633&lt;&gt;"Y"),AND($Q633&lt;=TODAY(),$R633&lt;&gt;"Y")),"DUE","Scheduled")))</f>
        <v/>
      </c>
      <c r="T633" s="20"/>
      <c r="U633" s="23" t="str">
        <f aca="false">IF($B633="","",IF(OR($T633&lt;=2,$I633="Editorial"),"REDO",""))</f>
        <v/>
      </c>
      <c r="V633" s="18" t="str">
        <f aca="false">IF($S633&lt;&gt;"DUE","",COUNTIF($S$3:$S633,"DUE"))</f>
        <v/>
      </c>
    </row>
    <row r="634" customFormat="false" ht="15" hidden="false" customHeight="false" outlineLevel="0" collapsed="false">
      <c r="A634" s="12" t="str">
        <f aca="false">IF($F634="","",ROW()-2)</f>
        <v/>
      </c>
      <c r="B634" s="19"/>
      <c r="C634" s="20"/>
      <c r="D634" s="21"/>
      <c r="E634" s="21"/>
      <c r="F634" s="21"/>
      <c r="G634" s="20"/>
      <c r="H634" s="21"/>
      <c r="I634" s="20"/>
      <c r="J634" s="20"/>
      <c r="K634" s="21"/>
      <c r="L634" s="21"/>
      <c r="M634" s="22" t="str">
        <f aca="false">IF($B634="","",$B634+2)</f>
        <v/>
      </c>
      <c r="N634" s="20"/>
      <c r="O634" s="22" t="str">
        <f aca="false">IF($B634="","",$B634+5)</f>
        <v/>
      </c>
      <c r="P634" s="20"/>
      <c r="Q634" s="22" t="str">
        <f aca="false">IF($B634="","",$B634+10)</f>
        <v/>
      </c>
      <c r="R634" s="20"/>
      <c r="S634" s="23" t="str">
        <f aca="true">IF($B634="","",IF(AND($N634="Y",$P634="Y",$R634="Y"),"Done",IF(OR(AND($M634&lt;=TODAY(),$N634&lt;&gt;"Y"),AND($O634&lt;=TODAY(),$P634&lt;&gt;"Y"),AND($Q634&lt;=TODAY(),$R634&lt;&gt;"Y")),"DUE","Scheduled")))</f>
        <v/>
      </c>
      <c r="T634" s="20"/>
      <c r="U634" s="23" t="str">
        <f aca="false">IF($B634="","",IF(OR($T634&lt;=2,$I634="Editorial"),"REDO",""))</f>
        <v/>
      </c>
      <c r="V634" s="18" t="str">
        <f aca="false">IF($S634&lt;&gt;"DUE","",COUNTIF($S$3:$S634,"DUE"))</f>
        <v/>
      </c>
    </row>
    <row r="635" customFormat="false" ht="15" hidden="false" customHeight="false" outlineLevel="0" collapsed="false">
      <c r="A635" s="12" t="str">
        <f aca="false">IF($F635="","",ROW()-2)</f>
        <v/>
      </c>
      <c r="B635" s="19"/>
      <c r="C635" s="20"/>
      <c r="D635" s="21"/>
      <c r="E635" s="21"/>
      <c r="F635" s="21"/>
      <c r="G635" s="20"/>
      <c r="H635" s="21"/>
      <c r="I635" s="20"/>
      <c r="J635" s="20"/>
      <c r="K635" s="21"/>
      <c r="L635" s="21"/>
      <c r="M635" s="22" t="str">
        <f aca="false">IF($B635="","",$B635+2)</f>
        <v/>
      </c>
      <c r="N635" s="20"/>
      <c r="O635" s="22" t="str">
        <f aca="false">IF($B635="","",$B635+5)</f>
        <v/>
      </c>
      <c r="P635" s="20"/>
      <c r="Q635" s="22" t="str">
        <f aca="false">IF($B635="","",$B635+10)</f>
        <v/>
      </c>
      <c r="R635" s="20"/>
      <c r="S635" s="23" t="str">
        <f aca="true">IF($B635="","",IF(AND($N635="Y",$P635="Y",$R635="Y"),"Done",IF(OR(AND($M635&lt;=TODAY(),$N635&lt;&gt;"Y"),AND($O635&lt;=TODAY(),$P635&lt;&gt;"Y"),AND($Q635&lt;=TODAY(),$R635&lt;&gt;"Y")),"DUE","Scheduled")))</f>
        <v/>
      </c>
      <c r="T635" s="20"/>
      <c r="U635" s="23" t="str">
        <f aca="false">IF($B635="","",IF(OR($T635&lt;=2,$I635="Editorial"),"REDO",""))</f>
        <v/>
      </c>
      <c r="V635" s="18" t="str">
        <f aca="false">IF($S635&lt;&gt;"DUE","",COUNTIF($S$3:$S635,"DUE"))</f>
        <v/>
      </c>
    </row>
    <row r="636" customFormat="false" ht="15" hidden="false" customHeight="false" outlineLevel="0" collapsed="false">
      <c r="A636" s="12" t="str">
        <f aca="false">IF($F636="","",ROW()-2)</f>
        <v/>
      </c>
      <c r="B636" s="19"/>
      <c r="C636" s="20"/>
      <c r="D636" s="21"/>
      <c r="E636" s="21"/>
      <c r="F636" s="21"/>
      <c r="G636" s="20"/>
      <c r="H636" s="21"/>
      <c r="I636" s="20"/>
      <c r="J636" s="20"/>
      <c r="K636" s="21"/>
      <c r="L636" s="21"/>
      <c r="M636" s="22" t="str">
        <f aca="false">IF($B636="","",$B636+2)</f>
        <v/>
      </c>
      <c r="N636" s="20"/>
      <c r="O636" s="22" t="str">
        <f aca="false">IF($B636="","",$B636+5)</f>
        <v/>
      </c>
      <c r="P636" s="20"/>
      <c r="Q636" s="22" t="str">
        <f aca="false">IF($B636="","",$B636+10)</f>
        <v/>
      </c>
      <c r="R636" s="20"/>
      <c r="S636" s="23" t="str">
        <f aca="true">IF($B636="","",IF(AND($N636="Y",$P636="Y",$R636="Y"),"Done",IF(OR(AND($M636&lt;=TODAY(),$N636&lt;&gt;"Y"),AND($O636&lt;=TODAY(),$P636&lt;&gt;"Y"),AND($Q636&lt;=TODAY(),$R636&lt;&gt;"Y")),"DUE","Scheduled")))</f>
        <v/>
      </c>
      <c r="T636" s="20"/>
      <c r="U636" s="23" t="str">
        <f aca="false">IF($B636="","",IF(OR($T636&lt;=2,$I636="Editorial"),"REDO",""))</f>
        <v/>
      </c>
      <c r="V636" s="18" t="str">
        <f aca="false">IF($S636&lt;&gt;"DUE","",COUNTIF($S$3:$S636,"DUE"))</f>
        <v/>
      </c>
    </row>
    <row r="637" customFormat="false" ht="15" hidden="false" customHeight="false" outlineLevel="0" collapsed="false">
      <c r="A637" s="12" t="str">
        <f aca="false">IF($F637="","",ROW()-2)</f>
        <v/>
      </c>
      <c r="B637" s="19"/>
      <c r="C637" s="20"/>
      <c r="D637" s="21"/>
      <c r="E637" s="21"/>
      <c r="F637" s="21"/>
      <c r="G637" s="20"/>
      <c r="H637" s="21"/>
      <c r="I637" s="20"/>
      <c r="J637" s="20"/>
      <c r="K637" s="21"/>
      <c r="L637" s="21"/>
      <c r="M637" s="22" t="str">
        <f aca="false">IF($B637="","",$B637+2)</f>
        <v/>
      </c>
      <c r="N637" s="20"/>
      <c r="O637" s="22" t="str">
        <f aca="false">IF($B637="","",$B637+5)</f>
        <v/>
      </c>
      <c r="P637" s="20"/>
      <c r="Q637" s="22" t="str">
        <f aca="false">IF($B637="","",$B637+10)</f>
        <v/>
      </c>
      <c r="R637" s="20"/>
      <c r="S637" s="23" t="str">
        <f aca="true">IF($B637="","",IF(AND($N637="Y",$P637="Y",$R637="Y"),"Done",IF(OR(AND($M637&lt;=TODAY(),$N637&lt;&gt;"Y"),AND($O637&lt;=TODAY(),$P637&lt;&gt;"Y"),AND($Q637&lt;=TODAY(),$R637&lt;&gt;"Y")),"DUE","Scheduled")))</f>
        <v/>
      </c>
      <c r="T637" s="20"/>
      <c r="U637" s="23" t="str">
        <f aca="false">IF($B637="","",IF(OR($T637&lt;=2,$I637="Editorial"),"REDO",""))</f>
        <v/>
      </c>
      <c r="V637" s="18" t="str">
        <f aca="false">IF($S637&lt;&gt;"DUE","",COUNTIF($S$3:$S637,"DUE"))</f>
        <v/>
      </c>
    </row>
    <row r="638" customFormat="false" ht="15" hidden="false" customHeight="false" outlineLevel="0" collapsed="false">
      <c r="A638" s="12" t="str">
        <f aca="false">IF($F638="","",ROW()-2)</f>
        <v/>
      </c>
      <c r="B638" s="19"/>
      <c r="C638" s="20"/>
      <c r="D638" s="21"/>
      <c r="E638" s="21"/>
      <c r="F638" s="21"/>
      <c r="G638" s="20"/>
      <c r="H638" s="21"/>
      <c r="I638" s="20"/>
      <c r="J638" s="20"/>
      <c r="K638" s="21"/>
      <c r="L638" s="21"/>
      <c r="M638" s="22" t="str">
        <f aca="false">IF($B638="","",$B638+2)</f>
        <v/>
      </c>
      <c r="N638" s="20"/>
      <c r="O638" s="22" t="str">
        <f aca="false">IF($B638="","",$B638+5)</f>
        <v/>
      </c>
      <c r="P638" s="20"/>
      <c r="Q638" s="22" t="str">
        <f aca="false">IF($B638="","",$B638+10)</f>
        <v/>
      </c>
      <c r="R638" s="20"/>
      <c r="S638" s="23" t="str">
        <f aca="true">IF($B638="","",IF(AND($N638="Y",$P638="Y",$R638="Y"),"Done",IF(OR(AND($M638&lt;=TODAY(),$N638&lt;&gt;"Y"),AND($O638&lt;=TODAY(),$P638&lt;&gt;"Y"),AND($Q638&lt;=TODAY(),$R638&lt;&gt;"Y")),"DUE","Scheduled")))</f>
        <v/>
      </c>
      <c r="T638" s="20"/>
      <c r="U638" s="23" t="str">
        <f aca="false">IF($B638="","",IF(OR($T638&lt;=2,$I638="Editorial"),"REDO",""))</f>
        <v/>
      </c>
      <c r="V638" s="18" t="str">
        <f aca="false">IF($S638&lt;&gt;"DUE","",COUNTIF($S$3:$S638,"DUE"))</f>
        <v/>
      </c>
    </row>
    <row r="639" customFormat="false" ht="15" hidden="false" customHeight="false" outlineLevel="0" collapsed="false">
      <c r="A639" s="12" t="str">
        <f aca="false">IF($F639="","",ROW()-2)</f>
        <v/>
      </c>
      <c r="B639" s="19"/>
      <c r="C639" s="20"/>
      <c r="D639" s="21"/>
      <c r="E639" s="21"/>
      <c r="F639" s="21"/>
      <c r="G639" s="20"/>
      <c r="H639" s="21"/>
      <c r="I639" s="20"/>
      <c r="J639" s="20"/>
      <c r="K639" s="21"/>
      <c r="L639" s="21"/>
      <c r="M639" s="22" t="str">
        <f aca="false">IF($B639="","",$B639+2)</f>
        <v/>
      </c>
      <c r="N639" s="20"/>
      <c r="O639" s="22" t="str">
        <f aca="false">IF($B639="","",$B639+5)</f>
        <v/>
      </c>
      <c r="P639" s="20"/>
      <c r="Q639" s="22" t="str">
        <f aca="false">IF($B639="","",$B639+10)</f>
        <v/>
      </c>
      <c r="R639" s="20"/>
      <c r="S639" s="23" t="str">
        <f aca="true">IF($B639="","",IF(AND($N639="Y",$P639="Y",$R639="Y"),"Done",IF(OR(AND($M639&lt;=TODAY(),$N639&lt;&gt;"Y"),AND($O639&lt;=TODAY(),$P639&lt;&gt;"Y"),AND($Q639&lt;=TODAY(),$R639&lt;&gt;"Y")),"DUE","Scheduled")))</f>
        <v/>
      </c>
      <c r="T639" s="20"/>
      <c r="U639" s="23" t="str">
        <f aca="false">IF($B639="","",IF(OR($T639&lt;=2,$I639="Editorial"),"REDO",""))</f>
        <v/>
      </c>
      <c r="V639" s="18" t="str">
        <f aca="false">IF($S639&lt;&gt;"DUE","",COUNTIF($S$3:$S639,"DUE"))</f>
        <v/>
      </c>
    </row>
    <row r="640" customFormat="false" ht="15" hidden="false" customHeight="false" outlineLevel="0" collapsed="false">
      <c r="A640" s="12" t="str">
        <f aca="false">IF($F640="","",ROW()-2)</f>
        <v/>
      </c>
      <c r="B640" s="19"/>
      <c r="C640" s="20"/>
      <c r="D640" s="21"/>
      <c r="E640" s="21"/>
      <c r="F640" s="21"/>
      <c r="G640" s="20"/>
      <c r="H640" s="21"/>
      <c r="I640" s="20"/>
      <c r="J640" s="20"/>
      <c r="K640" s="21"/>
      <c r="L640" s="21"/>
      <c r="M640" s="22" t="str">
        <f aca="false">IF($B640="","",$B640+2)</f>
        <v/>
      </c>
      <c r="N640" s="20"/>
      <c r="O640" s="22" t="str">
        <f aca="false">IF($B640="","",$B640+5)</f>
        <v/>
      </c>
      <c r="P640" s="20"/>
      <c r="Q640" s="22" t="str">
        <f aca="false">IF($B640="","",$B640+10)</f>
        <v/>
      </c>
      <c r="R640" s="20"/>
      <c r="S640" s="23" t="str">
        <f aca="true">IF($B640="","",IF(AND($N640="Y",$P640="Y",$R640="Y"),"Done",IF(OR(AND($M640&lt;=TODAY(),$N640&lt;&gt;"Y"),AND($O640&lt;=TODAY(),$P640&lt;&gt;"Y"),AND($Q640&lt;=TODAY(),$R640&lt;&gt;"Y")),"DUE","Scheduled")))</f>
        <v/>
      </c>
      <c r="T640" s="20"/>
      <c r="U640" s="23" t="str">
        <f aca="false">IF($B640="","",IF(OR($T640&lt;=2,$I640="Editorial"),"REDO",""))</f>
        <v/>
      </c>
      <c r="V640" s="18" t="str">
        <f aca="false">IF($S640&lt;&gt;"DUE","",COUNTIF($S$3:$S640,"DUE"))</f>
        <v/>
      </c>
    </row>
    <row r="641" customFormat="false" ht="15" hidden="false" customHeight="false" outlineLevel="0" collapsed="false">
      <c r="A641" s="12" t="str">
        <f aca="false">IF($F641="","",ROW()-2)</f>
        <v/>
      </c>
      <c r="B641" s="19"/>
      <c r="C641" s="20"/>
      <c r="D641" s="21"/>
      <c r="E641" s="21"/>
      <c r="F641" s="21"/>
      <c r="G641" s="20"/>
      <c r="H641" s="21"/>
      <c r="I641" s="20"/>
      <c r="J641" s="20"/>
      <c r="K641" s="21"/>
      <c r="L641" s="21"/>
      <c r="M641" s="22" t="str">
        <f aca="false">IF($B641="","",$B641+2)</f>
        <v/>
      </c>
      <c r="N641" s="20"/>
      <c r="O641" s="22" t="str">
        <f aca="false">IF($B641="","",$B641+5)</f>
        <v/>
      </c>
      <c r="P641" s="20"/>
      <c r="Q641" s="22" t="str">
        <f aca="false">IF($B641="","",$B641+10)</f>
        <v/>
      </c>
      <c r="R641" s="20"/>
      <c r="S641" s="23" t="str">
        <f aca="true">IF($B641="","",IF(AND($N641="Y",$P641="Y",$R641="Y"),"Done",IF(OR(AND($M641&lt;=TODAY(),$N641&lt;&gt;"Y"),AND($O641&lt;=TODAY(),$P641&lt;&gt;"Y"),AND($Q641&lt;=TODAY(),$R641&lt;&gt;"Y")),"DUE","Scheduled")))</f>
        <v/>
      </c>
      <c r="T641" s="20"/>
      <c r="U641" s="23" t="str">
        <f aca="false">IF($B641="","",IF(OR($T641&lt;=2,$I641="Editorial"),"REDO",""))</f>
        <v/>
      </c>
      <c r="V641" s="18" t="str">
        <f aca="false">IF($S641&lt;&gt;"DUE","",COUNTIF($S$3:$S641,"DUE"))</f>
        <v/>
      </c>
    </row>
    <row r="642" customFormat="false" ht="15" hidden="false" customHeight="false" outlineLevel="0" collapsed="false">
      <c r="A642" s="12" t="str">
        <f aca="false">IF($F642="","",ROW()-2)</f>
        <v/>
      </c>
      <c r="B642" s="19"/>
      <c r="C642" s="20"/>
      <c r="D642" s="21"/>
      <c r="E642" s="21"/>
      <c r="F642" s="21"/>
      <c r="G642" s="20"/>
      <c r="H642" s="21"/>
      <c r="I642" s="20"/>
      <c r="J642" s="20"/>
      <c r="K642" s="21"/>
      <c r="L642" s="21"/>
      <c r="M642" s="22" t="str">
        <f aca="false">IF($B642="","",$B642+2)</f>
        <v/>
      </c>
      <c r="N642" s="20"/>
      <c r="O642" s="22" t="str">
        <f aca="false">IF($B642="","",$B642+5)</f>
        <v/>
      </c>
      <c r="P642" s="20"/>
      <c r="Q642" s="22" t="str">
        <f aca="false">IF($B642="","",$B642+10)</f>
        <v/>
      </c>
      <c r="R642" s="20"/>
      <c r="S642" s="23" t="str">
        <f aca="true">IF($B642="","",IF(AND($N642="Y",$P642="Y",$R642="Y"),"Done",IF(OR(AND($M642&lt;=TODAY(),$N642&lt;&gt;"Y"),AND($O642&lt;=TODAY(),$P642&lt;&gt;"Y"),AND($Q642&lt;=TODAY(),$R642&lt;&gt;"Y")),"DUE","Scheduled")))</f>
        <v/>
      </c>
      <c r="T642" s="20"/>
      <c r="U642" s="23" t="str">
        <f aca="false">IF($B642="","",IF(OR($T642&lt;=2,$I642="Editorial"),"REDO",""))</f>
        <v/>
      </c>
      <c r="V642" s="18" t="str">
        <f aca="false">IF($S642&lt;&gt;"DUE","",COUNTIF($S$3:$S642,"DUE"))</f>
        <v/>
      </c>
    </row>
    <row r="643" customFormat="false" ht="15" hidden="false" customHeight="false" outlineLevel="0" collapsed="false">
      <c r="A643" s="12" t="str">
        <f aca="false">IF($F643="","",ROW()-2)</f>
        <v/>
      </c>
      <c r="B643" s="19"/>
      <c r="C643" s="20"/>
      <c r="D643" s="21"/>
      <c r="E643" s="21"/>
      <c r="F643" s="21"/>
      <c r="G643" s="20"/>
      <c r="H643" s="21"/>
      <c r="I643" s="20"/>
      <c r="J643" s="20"/>
      <c r="K643" s="21"/>
      <c r="L643" s="21"/>
      <c r="M643" s="22" t="str">
        <f aca="false">IF($B643="","",$B643+2)</f>
        <v/>
      </c>
      <c r="N643" s="20"/>
      <c r="O643" s="22" t="str">
        <f aca="false">IF($B643="","",$B643+5)</f>
        <v/>
      </c>
      <c r="P643" s="20"/>
      <c r="Q643" s="22" t="str">
        <f aca="false">IF($B643="","",$B643+10)</f>
        <v/>
      </c>
      <c r="R643" s="20"/>
      <c r="S643" s="23" t="str">
        <f aca="true">IF($B643="","",IF(AND($N643="Y",$P643="Y",$R643="Y"),"Done",IF(OR(AND($M643&lt;=TODAY(),$N643&lt;&gt;"Y"),AND($O643&lt;=TODAY(),$P643&lt;&gt;"Y"),AND($Q643&lt;=TODAY(),$R643&lt;&gt;"Y")),"DUE","Scheduled")))</f>
        <v/>
      </c>
      <c r="T643" s="20"/>
      <c r="U643" s="23" t="str">
        <f aca="false">IF($B643="","",IF(OR($T643&lt;=2,$I643="Editorial"),"REDO",""))</f>
        <v/>
      </c>
      <c r="V643" s="18" t="str">
        <f aca="false">IF($S643&lt;&gt;"DUE","",COUNTIF($S$3:$S643,"DUE"))</f>
        <v/>
      </c>
    </row>
    <row r="644" customFormat="false" ht="15" hidden="false" customHeight="false" outlineLevel="0" collapsed="false">
      <c r="A644" s="12" t="str">
        <f aca="false">IF($F644="","",ROW()-2)</f>
        <v/>
      </c>
      <c r="B644" s="19"/>
      <c r="C644" s="20"/>
      <c r="D644" s="21"/>
      <c r="E644" s="21"/>
      <c r="F644" s="21"/>
      <c r="G644" s="20"/>
      <c r="H644" s="21"/>
      <c r="I644" s="20"/>
      <c r="J644" s="20"/>
      <c r="K644" s="21"/>
      <c r="L644" s="21"/>
      <c r="M644" s="22" t="str">
        <f aca="false">IF($B644="","",$B644+2)</f>
        <v/>
      </c>
      <c r="N644" s="20"/>
      <c r="O644" s="22" t="str">
        <f aca="false">IF($B644="","",$B644+5)</f>
        <v/>
      </c>
      <c r="P644" s="20"/>
      <c r="Q644" s="22" t="str">
        <f aca="false">IF($B644="","",$B644+10)</f>
        <v/>
      </c>
      <c r="R644" s="20"/>
      <c r="S644" s="23" t="str">
        <f aca="true">IF($B644="","",IF(AND($N644="Y",$P644="Y",$R644="Y"),"Done",IF(OR(AND($M644&lt;=TODAY(),$N644&lt;&gt;"Y"),AND($O644&lt;=TODAY(),$P644&lt;&gt;"Y"),AND($Q644&lt;=TODAY(),$R644&lt;&gt;"Y")),"DUE","Scheduled")))</f>
        <v/>
      </c>
      <c r="T644" s="20"/>
      <c r="U644" s="23" t="str">
        <f aca="false">IF($B644="","",IF(OR($T644&lt;=2,$I644="Editorial"),"REDO",""))</f>
        <v/>
      </c>
      <c r="V644" s="18" t="str">
        <f aca="false">IF($S644&lt;&gt;"DUE","",COUNTIF($S$3:$S644,"DUE"))</f>
        <v/>
      </c>
    </row>
    <row r="645" customFormat="false" ht="15" hidden="false" customHeight="false" outlineLevel="0" collapsed="false">
      <c r="A645" s="12" t="str">
        <f aca="false">IF($F645="","",ROW()-2)</f>
        <v/>
      </c>
      <c r="B645" s="19"/>
      <c r="C645" s="20"/>
      <c r="D645" s="21"/>
      <c r="E645" s="21"/>
      <c r="F645" s="21"/>
      <c r="G645" s="20"/>
      <c r="H645" s="21"/>
      <c r="I645" s="20"/>
      <c r="J645" s="20"/>
      <c r="K645" s="21"/>
      <c r="L645" s="21"/>
      <c r="M645" s="22" t="str">
        <f aca="false">IF($B645="","",$B645+2)</f>
        <v/>
      </c>
      <c r="N645" s="20"/>
      <c r="O645" s="22" t="str">
        <f aca="false">IF($B645="","",$B645+5)</f>
        <v/>
      </c>
      <c r="P645" s="20"/>
      <c r="Q645" s="22" t="str">
        <f aca="false">IF($B645="","",$B645+10)</f>
        <v/>
      </c>
      <c r="R645" s="20"/>
      <c r="S645" s="23" t="str">
        <f aca="true">IF($B645="","",IF(AND($N645="Y",$P645="Y",$R645="Y"),"Done",IF(OR(AND($M645&lt;=TODAY(),$N645&lt;&gt;"Y"),AND($O645&lt;=TODAY(),$P645&lt;&gt;"Y"),AND($Q645&lt;=TODAY(),$R645&lt;&gt;"Y")),"DUE","Scheduled")))</f>
        <v/>
      </c>
      <c r="T645" s="20"/>
      <c r="U645" s="23" t="str">
        <f aca="false">IF($B645="","",IF(OR($T645&lt;=2,$I645="Editorial"),"REDO",""))</f>
        <v/>
      </c>
      <c r="V645" s="18" t="str">
        <f aca="false">IF($S645&lt;&gt;"DUE","",COUNTIF($S$3:$S645,"DUE"))</f>
        <v/>
      </c>
    </row>
    <row r="646" customFormat="false" ht="15" hidden="false" customHeight="false" outlineLevel="0" collapsed="false">
      <c r="A646" s="12" t="str">
        <f aca="false">IF($F646="","",ROW()-2)</f>
        <v/>
      </c>
      <c r="B646" s="19"/>
      <c r="C646" s="20"/>
      <c r="D646" s="21"/>
      <c r="E646" s="21"/>
      <c r="F646" s="21"/>
      <c r="G646" s="20"/>
      <c r="H646" s="21"/>
      <c r="I646" s="20"/>
      <c r="J646" s="20"/>
      <c r="K646" s="21"/>
      <c r="L646" s="21"/>
      <c r="M646" s="22" t="str">
        <f aca="false">IF($B646="","",$B646+2)</f>
        <v/>
      </c>
      <c r="N646" s="20"/>
      <c r="O646" s="22" t="str">
        <f aca="false">IF($B646="","",$B646+5)</f>
        <v/>
      </c>
      <c r="P646" s="20"/>
      <c r="Q646" s="22" t="str">
        <f aca="false">IF($B646="","",$B646+10)</f>
        <v/>
      </c>
      <c r="R646" s="20"/>
      <c r="S646" s="23" t="str">
        <f aca="true">IF($B646="","",IF(AND($N646="Y",$P646="Y",$R646="Y"),"Done",IF(OR(AND($M646&lt;=TODAY(),$N646&lt;&gt;"Y"),AND($O646&lt;=TODAY(),$P646&lt;&gt;"Y"),AND($Q646&lt;=TODAY(),$R646&lt;&gt;"Y")),"DUE","Scheduled")))</f>
        <v/>
      </c>
      <c r="T646" s="20"/>
      <c r="U646" s="23" t="str">
        <f aca="false">IF($B646="","",IF(OR($T646&lt;=2,$I646="Editorial"),"REDO",""))</f>
        <v/>
      </c>
      <c r="V646" s="18" t="str">
        <f aca="false">IF($S646&lt;&gt;"DUE","",COUNTIF($S$3:$S646,"DUE"))</f>
        <v/>
      </c>
    </row>
    <row r="647" customFormat="false" ht="15" hidden="false" customHeight="false" outlineLevel="0" collapsed="false">
      <c r="A647" s="12" t="str">
        <f aca="false">IF($F647="","",ROW()-2)</f>
        <v/>
      </c>
      <c r="B647" s="19"/>
      <c r="C647" s="20"/>
      <c r="D647" s="21"/>
      <c r="E647" s="21"/>
      <c r="F647" s="21"/>
      <c r="G647" s="20"/>
      <c r="H647" s="21"/>
      <c r="I647" s="20"/>
      <c r="J647" s="20"/>
      <c r="K647" s="21"/>
      <c r="L647" s="21"/>
      <c r="M647" s="22" t="str">
        <f aca="false">IF($B647="","",$B647+2)</f>
        <v/>
      </c>
      <c r="N647" s="20"/>
      <c r="O647" s="22" t="str">
        <f aca="false">IF($B647="","",$B647+5)</f>
        <v/>
      </c>
      <c r="P647" s="20"/>
      <c r="Q647" s="22" t="str">
        <f aca="false">IF($B647="","",$B647+10)</f>
        <v/>
      </c>
      <c r="R647" s="20"/>
      <c r="S647" s="23" t="str">
        <f aca="true">IF($B647="","",IF(AND($N647="Y",$P647="Y",$R647="Y"),"Done",IF(OR(AND($M647&lt;=TODAY(),$N647&lt;&gt;"Y"),AND($O647&lt;=TODAY(),$P647&lt;&gt;"Y"),AND($Q647&lt;=TODAY(),$R647&lt;&gt;"Y")),"DUE","Scheduled")))</f>
        <v/>
      </c>
      <c r="T647" s="20"/>
      <c r="U647" s="23" t="str">
        <f aca="false">IF($B647="","",IF(OR($T647&lt;=2,$I647="Editorial"),"REDO",""))</f>
        <v/>
      </c>
      <c r="V647" s="18" t="str">
        <f aca="false">IF($S647&lt;&gt;"DUE","",COUNTIF($S$3:$S647,"DUE"))</f>
        <v/>
      </c>
    </row>
    <row r="648" customFormat="false" ht="15" hidden="false" customHeight="false" outlineLevel="0" collapsed="false">
      <c r="A648" s="12" t="str">
        <f aca="false">IF($F648="","",ROW()-2)</f>
        <v/>
      </c>
      <c r="B648" s="19"/>
      <c r="C648" s="20"/>
      <c r="D648" s="21"/>
      <c r="E648" s="21"/>
      <c r="F648" s="21"/>
      <c r="G648" s="20"/>
      <c r="H648" s="21"/>
      <c r="I648" s="20"/>
      <c r="J648" s="20"/>
      <c r="K648" s="21"/>
      <c r="L648" s="21"/>
      <c r="M648" s="22" t="str">
        <f aca="false">IF($B648="","",$B648+2)</f>
        <v/>
      </c>
      <c r="N648" s="20"/>
      <c r="O648" s="22" t="str">
        <f aca="false">IF($B648="","",$B648+5)</f>
        <v/>
      </c>
      <c r="P648" s="20"/>
      <c r="Q648" s="22" t="str">
        <f aca="false">IF($B648="","",$B648+10)</f>
        <v/>
      </c>
      <c r="R648" s="20"/>
      <c r="S648" s="23" t="str">
        <f aca="true">IF($B648="","",IF(AND($N648="Y",$P648="Y",$R648="Y"),"Done",IF(OR(AND($M648&lt;=TODAY(),$N648&lt;&gt;"Y"),AND($O648&lt;=TODAY(),$P648&lt;&gt;"Y"),AND($Q648&lt;=TODAY(),$R648&lt;&gt;"Y")),"DUE","Scheduled")))</f>
        <v/>
      </c>
      <c r="T648" s="20"/>
      <c r="U648" s="23" t="str">
        <f aca="false">IF($B648="","",IF(OR($T648&lt;=2,$I648="Editorial"),"REDO",""))</f>
        <v/>
      </c>
      <c r="V648" s="18" t="str">
        <f aca="false">IF($S648&lt;&gt;"DUE","",COUNTIF($S$3:$S648,"DUE"))</f>
        <v/>
      </c>
    </row>
    <row r="649" customFormat="false" ht="15" hidden="false" customHeight="false" outlineLevel="0" collapsed="false">
      <c r="A649" s="12" t="str">
        <f aca="false">IF($F649="","",ROW()-2)</f>
        <v/>
      </c>
      <c r="B649" s="19"/>
      <c r="C649" s="20"/>
      <c r="D649" s="21"/>
      <c r="E649" s="21"/>
      <c r="F649" s="21"/>
      <c r="G649" s="20"/>
      <c r="H649" s="21"/>
      <c r="I649" s="20"/>
      <c r="J649" s="20"/>
      <c r="K649" s="21"/>
      <c r="L649" s="21"/>
      <c r="M649" s="22" t="str">
        <f aca="false">IF($B649="","",$B649+2)</f>
        <v/>
      </c>
      <c r="N649" s="20"/>
      <c r="O649" s="22" t="str">
        <f aca="false">IF($B649="","",$B649+5)</f>
        <v/>
      </c>
      <c r="P649" s="20"/>
      <c r="Q649" s="22" t="str">
        <f aca="false">IF($B649="","",$B649+10)</f>
        <v/>
      </c>
      <c r="R649" s="20"/>
      <c r="S649" s="23" t="str">
        <f aca="true">IF($B649="","",IF(AND($N649="Y",$P649="Y",$R649="Y"),"Done",IF(OR(AND($M649&lt;=TODAY(),$N649&lt;&gt;"Y"),AND($O649&lt;=TODAY(),$P649&lt;&gt;"Y"),AND($Q649&lt;=TODAY(),$R649&lt;&gt;"Y")),"DUE","Scheduled")))</f>
        <v/>
      </c>
      <c r="T649" s="20"/>
      <c r="U649" s="23" t="str">
        <f aca="false">IF($B649="","",IF(OR($T649&lt;=2,$I649="Editorial"),"REDO",""))</f>
        <v/>
      </c>
      <c r="V649" s="18" t="str">
        <f aca="false">IF($S649&lt;&gt;"DUE","",COUNTIF($S$3:$S649,"DUE"))</f>
        <v/>
      </c>
    </row>
    <row r="650" customFormat="false" ht="15" hidden="false" customHeight="false" outlineLevel="0" collapsed="false">
      <c r="A650" s="12" t="str">
        <f aca="false">IF($F650="","",ROW()-2)</f>
        <v/>
      </c>
      <c r="B650" s="19"/>
      <c r="C650" s="20"/>
      <c r="D650" s="21"/>
      <c r="E650" s="21"/>
      <c r="F650" s="21"/>
      <c r="G650" s="20"/>
      <c r="H650" s="21"/>
      <c r="I650" s="20"/>
      <c r="J650" s="20"/>
      <c r="K650" s="21"/>
      <c r="L650" s="21"/>
      <c r="M650" s="22" t="str">
        <f aca="false">IF($B650="","",$B650+2)</f>
        <v/>
      </c>
      <c r="N650" s="20"/>
      <c r="O650" s="22" t="str">
        <f aca="false">IF($B650="","",$B650+5)</f>
        <v/>
      </c>
      <c r="P650" s="20"/>
      <c r="Q650" s="22" t="str">
        <f aca="false">IF($B650="","",$B650+10)</f>
        <v/>
      </c>
      <c r="R650" s="20"/>
      <c r="S650" s="23" t="str">
        <f aca="true">IF($B650="","",IF(AND($N650="Y",$P650="Y",$R650="Y"),"Done",IF(OR(AND($M650&lt;=TODAY(),$N650&lt;&gt;"Y"),AND($O650&lt;=TODAY(),$P650&lt;&gt;"Y"),AND($Q650&lt;=TODAY(),$R650&lt;&gt;"Y")),"DUE","Scheduled")))</f>
        <v/>
      </c>
      <c r="T650" s="20"/>
      <c r="U650" s="23" t="str">
        <f aca="false">IF($B650="","",IF(OR($T650&lt;=2,$I650="Editorial"),"REDO",""))</f>
        <v/>
      </c>
      <c r="V650" s="18" t="str">
        <f aca="false">IF($S650&lt;&gt;"DUE","",COUNTIF($S$3:$S650,"DUE"))</f>
        <v/>
      </c>
    </row>
    <row r="651" customFormat="false" ht="15" hidden="false" customHeight="false" outlineLevel="0" collapsed="false">
      <c r="A651" s="12" t="str">
        <f aca="false">IF($F651="","",ROW()-2)</f>
        <v/>
      </c>
      <c r="B651" s="19"/>
      <c r="C651" s="20"/>
      <c r="D651" s="21"/>
      <c r="E651" s="21"/>
      <c r="F651" s="21"/>
      <c r="G651" s="20"/>
      <c r="H651" s="21"/>
      <c r="I651" s="20"/>
      <c r="J651" s="20"/>
      <c r="K651" s="21"/>
      <c r="L651" s="21"/>
      <c r="M651" s="22" t="str">
        <f aca="false">IF($B651="","",$B651+2)</f>
        <v/>
      </c>
      <c r="N651" s="20"/>
      <c r="O651" s="22" t="str">
        <f aca="false">IF($B651="","",$B651+5)</f>
        <v/>
      </c>
      <c r="P651" s="20"/>
      <c r="Q651" s="22" t="str">
        <f aca="false">IF($B651="","",$B651+10)</f>
        <v/>
      </c>
      <c r="R651" s="20"/>
      <c r="S651" s="23" t="str">
        <f aca="true">IF($B651="","",IF(AND($N651="Y",$P651="Y",$R651="Y"),"Done",IF(OR(AND($M651&lt;=TODAY(),$N651&lt;&gt;"Y"),AND($O651&lt;=TODAY(),$P651&lt;&gt;"Y"),AND($Q651&lt;=TODAY(),$R651&lt;&gt;"Y")),"DUE","Scheduled")))</f>
        <v/>
      </c>
      <c r="T651" s="20"/>
      <c r="U651" s="23" t="str">
        <f aca="false">IF($B651="","",IF(OR($T651&lt;=2,$I651="Editorial"),"REDO",""))</f>
        <v/>
      </c>
      <c r="V651" s="18" t="str">
        <f aca="false">IF($S651&lt;&gt;"DUE","",COUNTIF($S$3:$S651,"DUE"))</f>
        <v/>
      </c>
    </row>
    <row r="652" customFormat="false" ht="15" hidden="false" customHeight="false" outlineLevel="0" collapsed="false">
      <c r="A652" s="12" t="str">
        <f aca="false">IF($F652="","",ROW()-2)</f>
        <v/>
      </c>
      <c r="B652" s="19"/>
      <c r="C652" s="20"/>
      <c r="D652" s="21"/>
      <c r="E652" s="21"/>
      <c r="F652" s="21"/>
      <c r="G652" s="20"/>
      <c r="H652" s="21"/>
      <c r="I652" s="20"/>
      <c r="J652" s="20"/>
      <c r="K652" s="21"/>
      <c r="L652" s="21"/>
      <c r="M652" s="22" t="str">
        <f aca="false">IF($B652="","",$B652+2)</f>
        <v/>
      </c>
      <c r="N652" s="20"/>
      <c r="O652" s="22" t="str">
        <f aca="false">IF($B652="","",$B652+5)</f>
        <v/>
      </c>
      <c r="P652" s="20"/>
      <c r="Q652" s="22" t="str">
        <f aca="false">IF($B652="","",$B652+10)</f>
        <v/>
      </c>
      <c r="R652" s="20"/>
      <c r="S652" s="23" t="str">
        <f aca="true">IF($B652="","",IF(AND($N652="Y",$P652="Y",$R652="Y"),"Done",IF(OR(AND($M652&lt;=TODAY(),$N652&lt;&gt;"Y"),AND($O652&lt;=TODAY(),$P652&lt;&gt;"Y"),AND($Q652&lt;=TODAY(),$R652&lt;&gt;"Y")),"DUE","Scheduled")))</f>
        <v/>
      </c>
      <c r="T652" s="20"/>
      <c r="U652" s="23" t="str">
        <f aca="false">IF($B652="","",IF(OR($T652&lt;=2,$I652="Editorial"),"REDO",""))</f>
        <v/>
      </c>
      <c r="V652" s="18" t="str">
        <f aca="false">IF($S652&lt;&gt;"DUE","",COUNTIF($S$3:$S652,"DUE"))</f>
        <v/>
      </c>
    </row>
    <row r="653" customFormat="false" ht="15" hidden="false" customHeight="false" outlineLevel="0" collapsed="false">
      <c r="A653" s="12" t="str">
        <f aca="false">IF($F653="","",ROW()-2)</f>
        <v/>
      </c>
      <c r="B653" s="19"/>
      <c r="C653" s="20"/>
      <c r="D653" s="21"/>
      <c r="E653" s="21"/>
      <c r="F653" s="21"/>
      <c r="G653" s="20"/>
      <c r="H653" s="21"/>
      <c r="I653" s="20"/>
      <c r="J653" s="20"/>
      <c r="K653" s="21"/>
      <c r="L653" s="21"/>
      <c r="M653" s="22" t="str">
        <f aca="false">IF($B653="","",$B653+2)</f>
        <v/>
      </c>
      <c r="N653" s="20"/>
      <c r="O653" s="22" t="str">
        <f aca="false">IF($B653="","",$B653+5)</f>
        <v/>
      </c>
      <c r="P653" s="20"/>
      <c r="Q653" s="22" t="str">
        <f aca="false">IF($B653="","",$B653+10)</f>
        <v/>
      </c>
      <c r="R653" s="20"/>
      <c r="S653" s="23" t="str">
        <f aca="true">IF($B653="","",IF(AND($N653="Y",$P653="Y",$R653="Y"),"Done",IF(OR(AND($M653&lt;=TODAY(),$N653&lt;&gt;"Y"),AND($O653&lt;=TODAY(),$P653&lt;&gt;"Y"),AND($Q653&lt;=TODAY(),$R653&lt;&gt;"Y")),"DUE","Scheduled")))</f>
        <v/>
      </c>
      <c r="T653" s="20"/>
      <c r="U653" s="23" t="str">
        <f aca="false">IF($B653="","",IF(OR($T653&lt;=2,$I653="Editorial"),"REDO",""))</f>
        <v/>
      </c>
      <c r="V653" s="18" t="str">
        <f aca="false">IF($S653&lt;&gt;"DUE","",COUNTIF($S$3:$S653,"DUE"))</f>
        <v/>
      </c>
    </row>
    <row r="654" customFormat="false" ht="15" hidden="false" customHeight="false" outlineLevel="0" collapsed="false">
      <c r="A654" s="12" t="str">
        <f aca="false">IF($F654="","",ROW()-2)</f>
        <v/>
      </c>
      <c r="B654" s="19"/>
      <c r="C654" s="20"/>
      <c r="D654" s="21"/>
      <c r="E654" s="21"/>
      <c r="F654" s="21"/>
      <c r="G654" s="20"/>
      <c r="H654" s="21"/>
      <c r="I654" s="20"/>
      <c r="J654" s="20"/>
      <c r="K654" s="21"/>
      <c r="L654" s="21"/>
      <c r="M654" s="22" t="str">
        <f aca="false">IF($B654="","",$B654+2)</f>
        <v/>
      </c>
      <c r="N654" s="20"/>
      <c r="O654" s="22" t="str">
        <f aca="false">IF($B654="","",$B654+5)</f>
        <v/>
      </c>
      <c r="P654" s="20"/>
      <c r="Q654" s="22" t="str">
        <f aca="false">IF($B654="","",$B654+10)</f>
        <v/>
      </c>
      <c r="R654" s="20"/>
      <c r="S654" s="23" t="str">
        <f aca="true">IF($B654="","",IF(AND($N654="Y",$P654="Y",$R654="Y"),"Done",IF(OR(AND($M654&lt;=TODAY(),$N654&lt;&gt;"Y"),AND($O654&lt;=TODAY(),$P654&lt;&gt;"Y"),AND($Q654&lt;=TODAY(),$R654&lt;&gt;"Y")),"DUE","Scheduled")))</f>
        <v/>
      </c>
      <c r="T654" s="20"/>
      <c r="U654" s="23" t="str">
        <f aca="false">IF($B654="","",IF(OR($T654&lt;=2,$I654="Editorial"),"REDO",""))</f>
        <v/>
      </c>
      <c r="V654" s="18" t="str">
        <f aca="false">IF($S654&lt;&gt;"DUE","",COUNTIF($S$3:$S654,"DUE"))</f>
        <v/>
      </c>
    </row>
    <row r="655" customFormat="false" ht="15" hidden="false" customHeight="false" outlineLevel="0" collapsed="false">
      <c r="A655" s="12" t="str">
        <f aca="false">IF($F655="","",ROW()-2)</f>
        <v/>
      </c>
      <c r="B655" s="19"/>
      <c r="C655" s="20"/>
      <c r="D655" s="21"/>
      <c r="E655" s="21"/>
      <c r="F655" s="21"/>
      <c r="G655" s="20"/>
      <c r="H655" s="21"/>
      <c r="I655" s="20"/>
      <c r="J655" s="20"/>
      <c r="K655" s="21"/>
      <c r="L655" s="21"/>
      <c r="M655" s="22" t="str">
        <f aca="false">IF($B655="","",$B655+2)</f>
        <v/>
      </c>
      <c r="N655" s="20"/>
      <c r="O655" s="22" t="str">
        <f aca="false">IF($B655="","",$B655+5)</f>
        <v/>
      </c>
      <c r="P655" s="20"/>
      <c r="Q655" s="22" t="str">
        <f aca="false">IF($B655="","",$B655+10)</f>
        <v/>
      </c>
      <c r="R655" s="20"/>
      <c r="S655" s="23" t="str">
        <f aca="true">IF($B655="","",IF(AND($N655="Y",$P655="Y",$R655="Y"),"Done",IF(OR(AND($M655&lt;=TODAY(),$N655&lt;&gt;"Y"),AND($O655&lt;=TODAY(),$P655&lt;&gt;"Y"),AND($Q655&lt;=TODAY(),$R655&lt;&gt;"Y")),"DUE","Scheduled")))</f>
        <v/>
      </c>
      <c r="T655" s="20"/>
      <c r="U655" s="23" t="str">
        <f aca="false">IF($B655="","",IF(OR($T655&lt;=2,$I655="Editorial"),"REDO",""))</f>
        <v/>
      </c>
      <c r="V655" s="18" t="str">
        <f aca="false">IF($S655&lt;&gt;"DUE","",COUNTIF($S$3:$S655,"DUE"))</f>
        <v/>
      </c>
    </row>
    <row r="656" customFormat="false" ht="15" hidden="false" customHeight="false" outlineLevel="0" collapsed="false">
      <c r="A656" s="12" t="str">
        <f aca="false">IF($F656="","",ROW()-2)</f>
        <v/>
      </c>
      <c r="B656" s="19"/>
      <c r="C656" s="20"/>
      <c r="D656" s="21"/>
      <c r="E656" s="21"/>
      <c r="F656" s="21"/>
      <c r="G656" s="20"/>
      <c r="H656" s="21"/>
      <c r="I656" s="20"/>
      <c r="J656" s="20"/>
      <c r="K656" s="21"/>
      <c r="L656" s="21"/>
      <c r="M656" s="22" t="str">
        <f aca="false">IF($B656="","",$B656+2)</f>
        <v/>
      </c>
      <c r="N656" s="20"/>
      <c r="O656" s="22" t="str">
        <f aca="false">IF($B656="","",$B656+5)</f>
        <v/>
      </c>
      <c r="P656" s="20"/>
      <c r="Q656" s="22" t="str">
        <f aca="false">IF($B656="","",$B656+10)</f>
        <v/>
      </c>
      <c r="R656" s="20"/>
      <c r="S656" s="23" t="str">
        <f aca="true">IF($B656="","",IF(AND($N656="Y",$P656="Y",$R656="Y"),"Done",IF(OR(AND($M656&lt;=TODAY(),$N656&lt;&gt;"Y"),AND($O656&lt;=TODAY(),$P656&lt;&gt;"Y"),AND($Q656&lt;=TODAY(),$R656&lt;&gt;"Y")),"DUE","Scheduled")))</f>
        <v/>
      </c>
      <c r="T656" s="20"/>
      <c r="U656" s="23" t="str">
        <f aca="false">IF($B656="","",IF(OR($T656&lt;=2,$I656="Editorial"),"REDO",""))</f>
        <v/>
      </c>
      <c r="V656" s="18" t="str">
        <f aca="false">IF($S656&lt;&gt;"DUE","",COUNTIF($S$3:$S656,"DUE"))</f>
        <v/>
      </c>
    </row>
    <row r="657" customFormat="false" ht="15" hidden="false" customHeight="false" outlineLevel="0" collapsed="false">
      <c r="A657" s="12" t="str">
        <f aca="false">IF($F657="","",ROW()-2)</f>
        <v/>
      </c>
      <c r="B657" s="19"/>
      <c r="C657" s="20"/>
      <c r="D657" s="21"/>
      <c r="E657" s="21"/>
      <c r="F657" s="21"/>
      <c r="G657" s="20"/>
      <c r="H657" s="21"/>
      <c r="I657" s="20"/>
      <c r="J657" s="20"/>
      <c r="K657" s="21"/>
      <c r="L657" s="21"/>
      <c r="M657" s="22" t="str">
        <f aca="false">IF($B657="","",$B657+2)</f>
        <v/>
      </c>
      <c r="N657" s="20"/>
      <c r="O657" s="22" t="str">
        <f aca="false">IF($B657="","",$B657+5)</f>
        <v/>
      </c>
      <c r="P657" s="20"/>
      <c r="Q657" s="22" t="str">
        <f aca="false">IF($B657="","",$B657+10)</f>
        <v/>
      </c>
      <c r="R657" s="20"/>
      <c r="S657" s="23" t="str">
        <f aca="true">IF($B657="","",IF(AND($N657="Y",$P657="Y",$R657="Y"),"Done",IF(OR(AND($M657&lt;=TODAY(),$N657&lt;&gt;"Y"),AND($O657&lt;=TODAY(),$P657&lt;&gt;"Y"),AND($Q657&lt;=TODAY(),$R657&lt;&gt;"Y")),"DUE","Scheduled")))</f>
        <v/>
      </c>
      <c r="T657" s="20"/>
      <c r="U657" s="23" t="str">
        <f aca="false">IF($B657="","",IF(OR($T657&lt;=2,$I657="Editorial"),"REDO",""))</f>
        <v/>
      </c>
      <c r="V657" s="18" t="str">
        <f aca="false">IF($S657&lt;&gt;"DUE","",COUNTIF($S$3:$S657,"DUE"))</f>
        <v/>
      </c>
    </row>
    <row r="658" customFormat="false" ht="15" hidden="false" customHeight="false" outlineLevel="0" collapsed="false">
      <c r="A658" s="12" t="str">
        <f aca="false">IF($F658="","",ROW()-2)</f>
        <v/>
      </c>
      <c r="B658" s="19"/>
      <c r="C658" s="20"/>
      <c r="D658" s="21"/>
      <c r="E658" s="21"/>
      <c r="F658" s="21"/>
      <c r="G658" s="20"/>
      <c r="H658" s="21"/>
      <c r="I658" s="20"/>
      <c r="J658" s="20"/>
      <c r="K658" s="21"/>
      <c r="L658" s="21"/>
      <c r="M658" s="22" t="str">
        <f aca="false">IF($B658="","",$B658+2)</f>
        <v/>
      </c>
      <c r="N658" s="20"/>
      <c r="O658" s="22" t="str">
        <f aca="false">IF($B658="","",$B658+5)</f>
        <v/>
      </c>
      <c r="P658" s="20"/>
      <c r="Q658" s="22" t="str">
        <f aca="false">IF($B658="","",$B658+10)</f>
        <v/>
      </c>
      <c r="R658" s="20"/>
      <c r="S658" s="23" t="str">
        <f aca="true">IF($B658="","",IF(AND($N658="Y",$P658="Y",$R658="Y"),"Done",IF(OR(AND($M658&lt;=TODAY(),$N658&lt;&gt;"Y"),AND($O658&lt;=TODAY(),$P658&lt;&gt;"Y"),AND($Q658&lt;=TODAY(),$R658&lt;&gt;"Y")),"DUE","Scheduled")))</f>
        <v/>
      </c>
      <c r="T658" s="20"/>
      <c r="U658" s="23" t="str">
        <f aca="false">IF($B658="","",IF(OR($T658&lt;=2,$I658="Editorial"),"REDO",""))</f>
        <v/>
      </c>
      <c r="V658" s="18" t="str">
        <f aca="false">IF($S658&lt;&gt;"DUE","",COUNTIF($S$3:$S658,"DUE"))</f>
        <v/>
      </c>
    </row>
    <row r="659" customFormat="false" ht="15" hidden="false" customHeight="false" outlineLevel="0" collapsed="false">
      <c r="A659" s="12" t="str">
        <f aca="false">IF($F659="","",ROW()-2)</f>
        <v/>
      </c>
      <c r="B659" s="19"/>
      <c r="C659" s="20"/>
      <c r="D659" s="21"/>
      <c r="E659" s="21"/>
      <c r="F659" s="21"/>
      <c r="G659" s="20"/>
      <c r="H659" s="21"/>
      <c r="I659" s="20"/>
      <c r="J659" s="20"/>
      <c r="K659" s="21"/>
      <c r="L659" s="21"/>
      <c r="M659" s="22" t="str">
        <f aca="false">IF($B659="","",$B659+2)</f>
        <v/>
      </c>
      <c r="N659" s="20"/>
      <c r="O659" s="22" t="str">
        <f aca="false">IF($B659="","",$B659+5)</f>
        <v/>
      </c>
      <c r="P659" s="20"/>
      <c r="Q659" s="22" t="str">
        <f aca="false">IF($B659="","",$B659+10)</f>
        <v/>
      </c>
      <c r="R659" s="20"/>
      <c r="S659" s="23" t="str">
        <f aca="true">IF($B659="","",IF(AND($N659="Y",$P659="Y",$R659="Y"),"Done",IF(OR(AND($M659&lt;=TODAY(),$N659&lt;&gt;"Y"),AND($O659&lt;=TODAY(),$P659&lt;&gt;"Y"),AND($Q659&lt;=TODAY(),$R659&lt;&gt;"Y")),"DUE","Scheduled")))</f>
        <v/>
      </c>
      <c r="T659" s="20"/>
      <c r="U659" s="23" t="str">
        <f aca="false">IF($B659="","",IF(OR($T659&lt;=2,$I659="Editorial"),"REDO",""))</f>
        <v/>
      </c>
      <c r="V659" s="18" t="str">
        <f aca="false">IF($S659&lt;&gt;"DUE","",COUNTIF($S$3:$S659,"DUE"))</f>
        <v/>
      </c>
    </row>
    <row r="660" customFormat="false" ht="15" hidden="false" customHeight="false" outlineLevel="0" collapsed="false">
      <c r="A660" s="12" t="str">
        <f aca="false">IF($F660="","",ROW()-2)</f>
        <v/>
      </c>
      <c r="B660" s="19"/>
      <c r="C660" s="20"/>
      <c r="D660" s="21"/>
      <c r="E660" s="21"/>
      <c r="F660" s="21"/>
      <c r="G660" s="20"/>
      <c r="H660" s="21"/>
      <c r="I660" s="20"/>
      <c r="J660" s="20"/>
      <c r="K660" s="21"/>
      <c r="L660" s="21"/>
      <c r="M660" s="22" t="str">
        <f aca="false">IF($B660="","",$B660+2)</f>
        <v/>
      </c>
      <c r="N660" s="20"/>
      <c r="O660" s="22" t="str">
        <f aca="false">IF($B660="","",$B660+5)</f>
        <v/>
      </c>
      <c r="P660" s="20"/>
      <c r="Q660" s="22" t="str">
        <f aca="false">IF($B660="","",$B660+10)</f>
        <v/>
      </c>
      <c r="R660" s="20"/>
      <c r="S660" s="23" t="str">
        <f aca="true">IF($B660="","",IF(AND($N660="Y",$P660="Y",$R660="Y"),"Done",IF(OR(AND($M660&lt;=TODAY(),$N660&lt;&gt;"Y"),AND($O660&lt;=TODAY(),$P660&lt;&gt;"Y"),AND($Q660&lt;=TODAY(),$R660&lt;&gt;"Y")),"DUE","Scheduled")))</f>
        <v/>
      </c>
      <c r="T660" s="20"/>
      <c r="U660" s="23" t="str">
        <f aca="false">IF($B660="","",IF(OR($T660&lt;=2,$I660="Editorial"),"REDO",""))</f>
        <v/>
      </c>
      <c r="V660" s="18" t="str">
        <f aca="false">IF($S660&lt;&gt;"DUE","",COUNTIF($S$3:$S660,"DUE"))</f>
        <v/>
      </c>
    </row>
    <row r="661" customFormat="false" ht="15" hidden="false" customHeight="false" outlineLevel="0" collapsed="false">
      <c r="A661" s="12" t="str">
        <f aca="false">IF($F661="","",ROW()-2)</f>
        <v/>
      </c>
      <c r="B661" s="19"/>
      <c r="C661" s="20"/>
      <c r="D661" s="21"/>
      <c r="E661" s="21"/>
      <c r="F661" s="21"/>
      <c r="G661" s="20"/>
      <c r="H661" s="21"/>
      <c r="I661" s="20"/>
      <c r="J661" s="20"/>
      <c r="K661" s="21"/>
      <c r="L661" s="21"/>
      <c r="M661" s="22" t="str">
        <f aca="false">IF($B661="","",$B661+2)</f>
        <v/>
      </c>
      <c r="N661" s="20"/>
      <c r="O661" s="22" t="str">
        <f aca="false">IF($B661="","",$B661+5)</f>
        <v/>
      </c>
      <c r="P661" s="20"/>
      <c r="Q661" s="22" t="str">
        <f aca="false">IF($B661="","",$B661+10)</f>
        <v/>
      </c>
      <c r="R661" s="20"/>
      <c r="S661" s="23" t="str">
        <f aca="true">IF($B661="","",IF(AND($N661="Y",$P661="Y",$R661="Y"),"Done",IF(OR(AND($M661&lt;=TODAY(),$N661&lt;&gt;"Y"),AND($O661&lt;=TODAY(),$P661&lt;&gt;"Y"),AND($Q661&lt;=TODAY(),$R661&lt;&gt;"Y")),"DUE","Scheduled")))</f>
        <v/>
      </c>
      <c r="T661" s="20"/>
      <c r="U661" s="23" t="str">
        <f aca="false">IF($B661="","",IF(OR($T661&lt;=2,$I661="Editorial"),"REDO",""))</f>
        <v/>
      </c>
      <c r="V661" s="18" t="str">
        <f aca="false">IF($S661&lt;&gt;"DUE","",COUNTIF($S$3:$S661,"DUE"))</f>
        <v/>
      </c>
    </row>
    <row r="662" customFormat="false" ht="15" hidden="false" customHeight="false" outlineLevel="0" collapsed="false">
      <c r="A662" s="12" t="str">
        <f aca="false">IF($F662="","",ROW()-2)</f>
        <v/>
      </c>
      <c r="B662" s="19"/>
      <c r="C662" s="20"/>
      <c r="D662" s="21"/>
      <c r="E662" s="21"/>
      <c r="F662" s="21"/>
      <c r="G662" s="20"/>
      <c r="H662" s="21"/>
      <c r="I662" s="20"/>
      <c r="J662" s="20"/>
      <c r="K662" s="21"/>
      <c r="L662" s="21"/>
      <c r="M662" s="22" t="str">
        <f aca="false">IF($B662="","",$B662+2)</f>
        <v/>
      </c>
      <c r="N662" s="20"/>
      <c r="O662" s="22" t="str">
        <f aca="false">IF($B662="","",$B662+5)</f>
        <v/>
      </c>
      <c r="P662" s="20"/>
      <c r="Q662" s="22" t="str">
        <f aca="false">IF($B662="","",$B662+10)</f>
        <v/>
      </c>
      <c r="R662" s="20"/>
      <c r="S662" s="23" t="str">
        <f aca="true">IF($B662="","",IF(AND($N662="Y",$P662="Y",$R662="Y"),"Done",IF(OR(AND($M662&lt;=TODAY(),$N662&lt;&gt;"Y"),AND($O662&lt;=TODAY(),$P662&lt;&gt;"Y"),AND($Q662&lt;=TODAY(),$R662&lt;&gt;"Y")),"DUE","Scheduled")))</f>
        <v/>
      </c>
      <c r="T662" s="20"/>
      <c r="U662" s="23" t="str">
        <f aca="false">IF($B662="","",IF(OR($T662&lt;=2,$I662="Editorial"),"REDO",""))</f>
        <v/>
      </c>
      <c r="V662" s="18" t="str">
        <f aca="false">IF($S662&lt;&gt;"DUE","",COUNTIF($S$3:$S662,"DUE"))</f>
        <v/>
      </c>
    </row>
    <row r="663" customFormat="false" ht="15" hidden="false" customHeight="false" outlineLevel="0" collapsed="false">
      <c r="A663" s="12" t="str">
        <f aca="false">IF($F663="","",ROW()-2)</f>
        <v/>
      </c>
      <c r="B663" s="19"/>
      <c r="C663" s="20"/>
      <c r="D663" s="21"/>
      <c r="E663" s="21"/>
      <c r="F663" s="21"/>
      <c r="G663" s="20"/>
      <c r="H663" s="21"/>
      <c r="I663" s="20"/>
      <c r="J663" s="20"/>
      <c r="K663" s="21"/>
      <c r="L663" s="21"/>
      <c r="M663" s="22" t="str">
        <f aca="false">IF($B663="","",$B663+2)</f>
        <v/>
      </c>
      <c r="N663" s="20"/>
      <c r="O663" s="22" t="str">
        <f aca="false">IF($B663="","",$B663+5)</f>
        <v/>
      </c>
      <c r="P663" s="20"/>
      <c r="Q663" s="22" t="str">
        <f aca="false">IF($B663="","",$B663+10)</f>
        <v/>
      </c>
      <c r="R663" s="20"/>
      <c r="S663" s="23" t="str">
        <f aca="true">IF($B663="","",IF(AND($N663="Y",$P663="Y",$R663="Y"),"Done",IF(OR(AND($M663&lt;=TODAY(),$N663&lt;&gt;"Y"),AND($O663&lt;=TODAY(),$P663&lt;&gt;"Y"),AND($Q663&lt;=TODAY(),$R663&lt;&gt;"Y")),"DUE","Scheduled")))</f>
        <v/>
      </c>
      <c r="T663" s="20"/>
      <c r="U663" s="23" t="str">
        <f aca="false">IF($B663="","",IF(OR($T663&lt;=2,$I663="Editorial"),"REDO",""))</f>
        <v/>
      </c>
      <c r="V663" s="18" t="str">
        <f aca="false">IF($S663&lt;&gt;"DUE","",COUNTIF($S$3:$S663,"DUE"))</f>
        <v/>
      </c>
    </row>
    <row r="664" customFormat="false" ht="15" hidden="false" customHeight="false" outlineLevel="0" collapsed="false">
      <c r="A664" s="12" t="str">
        <f aca="false">IF($F664="","",ROW()-2)</f>
        <v/>
      </c>
      <c r="B664" s="19"/>
      <c r="C664" s="20"/>
      <c r="D664" s="21"/>
      <c r="E664" s="21"/>
      <c r="F664" s="21"/>
      <c r="G664" s="20"/>
      <c r="H664" s="21"/>
      <c r="I664" s="20"/>
      <c r="J664" s="20"/>
      <c r="K664" s="21"/>
      <c r="L664" s="21"/>
      <c r="M664" s="22" t="str">
        <f aca="false">IF($B664="","",$B664+2)</f>
        <v/>
      </c>
      <c r="N664" s="20"/>
      <c r="O664" s="22" t="str">
        <f aca="false">IF($B664="","",$B664+5)</f>
        <v/>
      </c>
      <c r="P664" s="20"/>
      <c r="Q664" s="22" t="str">
        <f aca="false">IF($B664="","",$B664+10)</f>
        <v/>
      </c>
      <c r="R664" s="20"/>
      <c r="S664" s="23" t="str">
        <f aca="true">IF($B664="","",IF(AND($N664="Y",$P664="Y",$R664="Y"),"Done",IF(OR(AND($M664&lt;=TODAY(),$N664&lt;&gt;"Y"),AND($O664&lt;=TODAY(),$P664&lt;&gt;"Y"),AND($Q664&lt;=TODAY(),$R664&lt;&gt;"Y")),"DUE","Scheduled")))</f>
        <v/>
      </c>
      <c r="T664" s="20"/>
      <c r="U664" s="23" t="str">
        <f aca="false">IF($B664="","",IF(OR($T664&lt;=2,$I664="Editorial"),"REDO",""))</f>
        <v/>
      </c>
      <c r="V664" s="18" t="str">
        <f aca="false">IF($S664&lt;&gt;"DUE","",COUNTIF($S$3:$S664,"DUE"))</f>
        <v/>
      </c>
    </row>
    <row r="665" customFormat="false" ht="15" hidden="false" customHeight="false" outlineLevel="0" collapsed="false">
      <c r="A665" s="12" t="str">
        <f aca="false">IF($F665="","",ROW()-2)</f>
        <v/>
      </c>
      <c r="B665" s="19"/>
      <c r="C665" s="20"/>
      <c r="D665" s="21"/>
      <c r="E665" s="21"/>
      <c r="F665" s="21"/>
      <c r="G665" s="20"/>
      <c r="H665" s="21"/>
      <c r="I665" s="20"/>
      <c r="J665" s="20"/>
      <c r="K665" s="21"/>
      <c r="L665" s="21"/>
      <c r="M665" s="22" t="str">
        <f aca="false">IF($B665="","",$B665+2)</f>
        <v/>
      </c>
      <c r="N665" s="20"/>
      <c r="O665" s="22" t="str">
        <f aca="false">IF($B665="","",$B665+5)</f>
        <v/>
      </c>
      <c r="P665" s="20"/>
      <c r="Q665" s="22" t="str">
        <f aca="false">IF($B665="","",$B665+10)</f>
        <v/>
      </c>
      <c r="R665" s="20"/>
      <c r="S665" s="23" t="str">
        <f aca="true">IF($B665="","",IF(AND($N665="Y",$P665="Y",$R665="Y"),"Done",IF(OR(AND($M665&lt;=TODAY(),$N665&lt;&gt;"Y"),AND($O665&lt;=TODAY(),$P665&lt;&gt;"Y"),AND($Q665&lt;=TODAY(),$R665&lt;&gt;"Y")),"DUE","Scheduled")))</f>
        <v/>
      </c>
      <c r="T665" s="20"/>
      <c r="U665" s="23" t="str">
        <f aca="false">IF($B665="","",IF(OR($T665&lt;=2,$I665="Editorial"),"REDO",""))</f>
        <v/>
      </c>
      <c r="V665" s="18" t="str">
        <f aca="false">IF($S665&lt;&gt;"DUE","",COUNTIF($S$3:$S665,"DUE"))</f>
        <v/>
      </c>
    </row>
    <row r="666" customFormat="false" ht="15" hidden="false" customHeight="false" outlineLevel="0" collapsed="false">
      <c r="A666" s="12" t="str">
        <f aca="false">IF($F666="","",ROW()-2)</f>
        <v/>
      </c>
      <c r="B666" s="19"/>
      <c r="C666" s="20"/>
      <c r="D666" s="21"/>
      <c r="E666" s="21"/>
      <c r="F666" s="21"/>
      <c r="G666" s="20"/>
      <c r="H666" s="21"/>
      <c r="I666" s="20"/>
      <c r="J666" s="20"/>
      <c r="K666" s="21"/>
      <c r="L666" s="21"/>
      <c r="M666" s="22" t="str">
        <f aca="false">IF($B666="","",$B666+2)</f>
        <v/>
      </c>
      <c r="N666" s="20"/>
      <c r="O666" s="22" t="str">
        <f aca="false">IF($B666="","",$B666+5)</f>
        <v/>
      </c>
      <c r="P666" s="20"/>
      <c r="Q666" s="22" t="str">
        <f aca="false">IF($B666="","",$B666+10)</f>
        <v/>
      </c>
      <c r="R666" s="20"/>
      <c r="S666" s="23" t="str">
        <f aca="true">IF($B666="","",IF(AND($N666="Y",$P666="Y",$R666="Y"),"Done",IF(OR(AND($M666&lt;=TODAY(),$N666&lt;&gt;"Y"),AND($O666&lt;=TODAY(),$P666&lt;&gt;"Y"),AND($Q666&lt;=TODAY(),$R666&lt;&gt;"Y")),"DUE","Scheduled")))</f>
        <v/>
      </c>
      <c r="T666" s="20"/>
      <c r="U666" s="23" t="str">
        <f aca="false">IF($B666="","",IF(OR($T666&lt;=2,$I666="Editorial"),"REDO",""))</f>
        <v/>
      </c>
      <c r="V666" s="18" t="str">
        <f aca="false">IF($S666&lt;&gt;"DUE","",COUNTIF($S$3:$S666,"DUE"))</f>
        <v/>
      </c>
    </row>
    <row r="667" customFormat="false" ht="15" hidden="false" customHeight="false" outlineLevel="0" collapsed="false">
      <c r="A667" s="12" t="str">
        <f aca="false">IF($F667="","",ROW()-2)</f>
        <v/>
      </c>
      <c r="B667" s="19"/>
      <c r="C667" s="20"/>
      <c r="D667" s="21"/>
      <c r="E667" s="21"/>
      <c r="F667" s="21"/>
      <c r="G667" s="20"/>
      <c r="H667" s="21"/>
      <c r="I667" s="20"/>
      <c r="J667" s="20"/>
      <c r="K667" s="21"/>
      <c r="L667" s="21"/>
      <c r="M667" s="22" t="str">
        <f aca="false">IF($B667="","",$B667+2)</f>
        <v/>
      </c>
      <c r="N667" s="20"/>
      <c r="O667" s="22" t="str">
        <f aca="false">IF($B667="","",$B667+5)</f>
        <v/>
      </c>
      <c r="P667" s="20"/>
      <c r="Q667" s="22" t="str">
        <f aca="false">IF($B667="","",$B667+10)</f>
        <v/>
      </c>
      <c r="R667" s="20"/>
      <c r="S667" s="23" t="str">
        <f aca="true">IF($B667="","",IF(AND($N667="Y",$P667="Y",$R667="Y"),"Done",IF(OR(AND($M667&lt;=TODAY(),$N667&lt;&gt;"Y"),AND($O667&lt;=TODAY(),$P667&lt;&gt;"Y"),AND($Q667&lt;=TODAY(),$R667&lt;&gt;"Y")),"DUE","Scheduled")))</f>
        <v/>
      </c>
      <c r="T667" s="20"/>
      <c r="U667" s="23" t="str">
        <f aca="false">IF($B667="","",IF(OR($T667&lt;=2,$I667="Editorial"),"REDO",""))</f>
        <v/>
      </c>
      <c r="V667" s="18" t="str">
        <f aca="false">IF($S667&lt;&gt;"DUE","",COUNTIF($S$3:$S667,"DUE"))</f>
        <v/>
      </c>
    </row>
    <row r="668" customFormat="false" ht="15" hidden="false" customHeight="false" outlineLevel="0" collapsed="false">
      <c r="A668" s="12" t="str">
        <f aca="false">IF($F668="","",ROW()-2)</f>
        <v/>
      </c>
      <c r="B668" s="19"/>
      <c r="C668" s="20"/>
      <c r="D668" s="21"/>
      <c r="E668" s="21"/>
      <c r="F668" s="21"/>
      <c r="G668" s="20"/>
      <c r="H668" s="21"/>
      <c r="I668" s="20"/>
      <c r="J668" s="20"/>
      <c r="K668" s="21"/>
      <c r="L668" s="21"/>
      <c r="M668" s="22" t="str">
        <f aca="false">IF($B668="","",$B668+2)</f>
        <v/>
      </c>
      <c r="N668" s="20"/>
      <c r="O668" s="22" t="str">
        <f aca="false">IF($B668="","",$B668+5)</f>
        <v/>
      </c>
      <c r="P668" s="20"/>
      <c r="Q668" s="22" t="str">
        <f aca="false">IF($B668="","",$B668+10)</f>
        <v/>
      </c>
      <c r="R668" s="20"/>
      <c r="S668" s="23" t="str">
        <f aca="true">IF($B668="","",IF(AND($N668="Y",$P668="Y",$R668="Y"),"Done",IF(OR(AND($M668&lt;=TODAY(),$N668&lt;&gt;"Y"),AND($O668&lt;=TODAY(),$P668&lt;&gt;"Y"),AND($Q668&lt;=TODAY(),$R668&lt;&gt;"Y")),"DUE","Scheduled")))</f>
        <v/>
      </c>
      <c r="T668" s="20"/>
      <c r="U668" s="23" t="str">
        <f aca="false">IF($B668="","",IF(OR($T668&lt;=2,$I668="Editorial"),"REDO",""))</f>
        <v/>
      </c>
      <c r="V668" s="18" t="str">
        <f aca="false">IF($S668&lt;&gt;"DUE","",COUNTIF($S$3:$S668,"DUE"))</f>
        <v/>
      </c>
    </row>
    <row r="669" customFormat="false" ht="15" hidden="false" customHeight="false" outlineLevel="0" collapsed="false">
      <c r="A669" s="12" t="str">
        <f aca="false">IF($F669="","",ROW()-2)</f>
        <v/>
      </c>
      <c r="B669" s="19"/>
      <c r="C669" s="20"/>
      <c r="D669" s="21"/>
      <c r="E669" s="21"/>
      <c r="F669" s="21"/>
      <c r="G669" s="20"/>
      <c r="H669" s="21"/>
      <c r="I669" s="20"/>
      <c r="J669" s="20"/>
      <c r="K669" s="21"/>
      <c r="L669" s="21"/>
      <c r="M669" s="22" t="str">
        <f aca="false">IF($B669="","",$B669+2)</f>
        <v/>
      </c>
      <c r="N669" s="20"/>
      <c r="O669" s="22" t="str">
        <f aca="false">IF($B669="","",$B669+5)</f>
        <v/>
      </c>
      <c r="P669" s="20"/>
      <c r="Q669" s="22" t="str">
        <f aca="false">IF($B669="","",$B669+10)</f>
        <v/>
      </c>
      <c r="R669" s="20"/>
      <c r="S669" s="23" t="str">
        <f aca="true">IF($B669="","",IF(AND($N669="Y",$P669="Y",$R669="Y"),"Done",IF(OR(AND($M669&lt;=TODAY(),$N669&lt;&gt;"Y"),AND($O669&lt;=TODAY(),$P669&lt;&gt;"Y"),AND($Q669&lt;=TODAY(),$R669&lt;&gt;"Y")),"DUE","Scheduled")))</f>
        <v/>
      </c>
      <c r="T669" s="20"/>
      <c r="U669" s="23" t="str">
        <f aca="false">IF($B669="","",IF(OR($T669&lt;=2,$I669="Editorial"),"REDO",""))</f>
        <v/>
      </c>
      <c r="V669" s="18" t="str">
        <f aca="false">IF($S669&lt;&gt;"DUE","",COUNTIF($S$3:$S669,"DUE"))</f>
        <v/>
      </c>
    </row>
    <row r="670" customFormat="false" ht="15" hidden="false" customHeight="false" outlineLevel="0" collapsed="false">
      <c r="A670" s="12" t="str">
        <f aca="false">IF($F670="","",ROW()-2)</f>
        <v/>
      </c>
      <c r="B670" s="19"/>
      <c r="C670" s="20"/>
      <c r="D670" s="21"/>
      <c r="E670" s="21"/>
      <c r="F670" s="21"/>
      <c r="G670" s="20"/>
      <c r="H670" s="21"/>
      <c r="I670" s="20"/>
      <c r="J670" s="20"/>
      <c r="K670" s="21"/>
      <c r="L670" s="21"/>
      <c r="M670" s="22" t="str">
        <f aca="false">IF($B670="","",$B670+2)</f>
        <v/>
      </c>
      <c r="N670" s="20"/>
      <c r="O670" s="22" t="str">
        <f aca="false">IF($B670="","",$B670+5)</f>
        <v/>
      </c>
      <c r="P670" s="20"/>
      <c r="Q670" s="22" t="str">
        <f aca="false">IF($B670="","",$B670+10)</f>
        <v/>
      </c>
      <c r="R670" s="20"/>
      <c r="S670" s="23" t="str">
        <f aca="true">IF($B670="","",IF(AND($N670="Y",$P670="Y",$R670="Y"),"Done",IF(OR(AND($M670&lt;=TODAY(),$N670&lt;&gt;"Y"),AND($O670&lt;=TODAY(),$P670&lt;&gt;"Y"),AND($Q670&lt;=TODAY(),$R670&lt;&gt;"Y")),"DUE","Scheduled")))</f>
        <v/>
      </c>
      <c r="T670" s="20"/>
      <c r="U670" s="23" t="str">
        <f aca="false">IF($B670="","",IF(OR($T670&lt;=2,$I670="Editorial"),"REDO",""))</f>
        <v/>
      </c>
      <c r="V670" s="18" t="str">
        <f aca="false">IF($S670&lt;&gt;"DUE","",COUNTIF($S$3:$S670,"DUE"))</f>
        <v/>
      </c>
    </row>
    <row r="671" customFormat="false" ht="15" hidden="false" customHeight="false" outlineLevel="0" collapsed="false">
      <c r="A671" s="12" t="str">
        <f aca="false">IF($F671="","",ROW()-2)</f>
        <v/>
      </c>
      <c r="B671" s="19"/>
      <c r="C671" s="20"/>
      <c r="D671" s="21"/>
      <c r="E671" s="21"/>
      <c r="F671" s="21"/>
      <c r="G671" s="20"/>
      <c r="H671" s="21"/>
      <c r="I671" s="20"/>
      <c r="J671" s="20"/>
      <c r="K671" s="21"/>
      <c r="L671" s="21"/>
      <c r="M671" s="22" t="str">
        <f aca="false">IF($B671="","",$B671+2)</f>
        <v/>
      </c>
      <c r="N671" s="20"/>
      <c r="O671" s="22" t="str">
        <f aca="false">IF($B671="","",$B671+5)</f>
        <v/>
      </c>
      <c r="P671" s="20"/>
      <c r="Q671" s="22" t="str">
        <f aca="false">IF($B671="","",$B671+10)</f>
        <v/>
      </c>
      <c r="R671" s="20"/>
      <c r="S671" s="23" t="str">
        <f aca="true">IF($B671="","",IF(AND($N671="Y",$P671="Y",$R671="Y"),"Done",IF(OR(AND($M671&lt;=TODAY(),$N671&lt;&gt;"Y"),AND($O671&lt;=TODAY(),$P671&lt;&gt;"Y"),AND($Q671&lt;=TODAY(),$R671&lt;&gt;"Y")),"DUE","Scheduled")))</f>
        <v/>
      </c>
      <c r="T671" s="20"/>
      <c r="U671" s="23" t="str">
        <f aca="false">IF($B671="","",IF(OR($T671&lt;=2,$I671="Editorial"),"REDO",""))</f>
        <v/>
      </c>
      <c r="V671" s="18" t="str">
        <f aca="false">IF($S671&lt;&gt;"DUE","",COUNTIF($S$3:$S671,"DUE"))</f>
        <v/>
      </c>
    </row>
    <row r="672" customFormat="false" ht="15" hidden="false" customHeight="false" outlineLevel="0" collapsed="false">
      <c r="A672" s="12" t="str">
        <f aca="false">IF($F672="","",ROW()-2)</f>
        <v/>
      </c>
      <c r="B672" s="19"/>
      <c r="C672" s="20"/>
      <c r="D672" s="21"/>
      <c r="E672" s="21"/>
      <c r="F672" s="21"/>
      <c r="G672" s="20"/>
      <c r="H672" s="21"/>
      <c r="I672" s="20"/>
      <c r="J672" s="20"/>
      <c r="K672" s="21"/>
      <c r="L672" s="21"/>
      <c r="M672" s="22" t="str">
        <f aca="false">IF($B672="","",$B672+2)</f>
        <v/>
      </c>
      <c r="N672" s="20"/>
      <c r="O672" s="22" t="str">
        <f aca="false">IF($B672="","",$B672+5)</f>
        <v/>
      </c>
      <c r="P672" s="20"/>
      <c r="Q672" s="22" t="str">
        <f aca="false">IF($B672="","",$B672+10)</f>
        <v/>
      </c>
      <c r="R672" s="20"/>
      <c r="S672" s="23" t="str">
        <f aca="true">IF($B672="","",IF(AND($N672="Y",$P672="Y",$R672="Y"),"Done",IF(OR(AND($M672&lt;=TODAY(),$N672&lt;&gt;"Y"),AND($O672&lt;=TODAY(),$P672&lt;&gt;"Y"),AND($Q672&lt;=TODAY(),$R672&lt;&gt;"Y")),"DUE","Scheduled")))</f>
        <v/>
      </c>
      <c r="T672" s="20"/>
      <c r="U672" s="23" t="str">
        <f aca="false">IF($B672="","",IF(OR($T672&lt;=2,$I672="Editorial"),"REDO",""))</f>
        <v/>
      </c>
      <c r="V672" s="18" t="str">
        <f aca="false">IF($S672&lt;&gt;"DUE","",COUNTIF($S$3:$S672,"DUE"))</f>
        <v/>
      </c>
    </row>
    <row r="673" customFormat="false" ht="15" hidden="false" customHeight="false" outlineLevel="0" collapsed="false">
      <c r="A673" s="12" t="str">
        <f aca="false">IF($F673="","",ROW()-2)</f>
        <v/>
      </c>
      <c r="B673" s="19"/>
      <c r="C673" s="20"/>
      <c r="D673" s="21"/>
      <c r="E673" s="21"/>
      <c r="F673" s="21"/>
      <c r="G673" s="20"/>
      <c r="H673" s="21"/>
      <c r="I673" s="20"/>
      <c r="J673" s="20"/>
      <c r="K673" s="21"/>
      <c r="L673" s="21"/>
      <c r="M673" s="22" t="str">
        <f aca="false">IF($B673="","",$B673+2)</f>
        <v/>
      </c>
      <c r="N673" s="20"/>
      <c r="O673" s="22" t="str">
        <f aca="false">IF($B673="","",$B673+5)</f>
        <v/>
      </c>
      <c r="P673" s="20"/>
      <c r="Q673" s="22" t="str">
        <f aca="false">IF($B673="","",$B673+10)</f>
        <v/>
      </c>
      <c r="R673" s="20"/>
      <c r="S673" s="23" t="str">
        <f aca="true">IF($B673="","",IF(AND($N673="Y",$P673="Y",$R673="Y"),"Done",IF(OR(AND($M673&lt;=TODAY(),$N673&lt;&gt;"Y"),AND($O673&lt;=TODAY(),$P673&lt;&gt;"Y"),AND($Q673&lt;=TODAY(),$R673&lt;&gt;"Y")),"DUE","Scheduled")))</f>
        <v/>
      </c>
      <c r="T673" s="20"/>
      <c r="U673" s="23" t="str">
        <f aca="false">IF($B673="","",IF(OR($T673&lt;=2,$I673="Editorial"),"REDO",""))</f>
        <v/>
      </c>
      <c r="V673" s="18" t="str">
        <f aca="false">IF($S673&lt;&gt;"DUE","",COUNTIF($S$3:$S673,"DUE"))</f>
        <v/>
      </c>
    </row>
    <row r="674" customFormat="false" ht="15" hidden="false" customHeight="false" outlineLevel="0" collapsed="false">
      <c r="A674" s="12" t="str">
        <f aca="false">IF($F674="","",ROW()-2)</f>
        <v/>
      </c>
      <c r="B674" s="19"/>
      <c r="C674" s="20"/>
      <c r="D674" s="21"/>
      <c r="E674" s="21"/>
      <c r="F674" s="21"/>
      <c r="G674" s="20"/>
      <c r="H674" s="21"/>
      <c r="I674" s="20"/>
      <c r="J674" s="20"/>
      <c r="K674" s="21"/>
      <c r="L674" s="21"/>
      <c r="M674" s="22" t="str">
        <f aca="false">IF($B674="","",$B674+2)</f>
        <v/>
      </c>
      <c r="N674" s="20"/>
      <c r="O674" s="22" t="str">
        <f aca="false">IF($B674="","",$B674+5)</f>
        <v/>
      </c>
      <c r="P674" s="20"/>
      <c r="Q674" s="22" t="str">
        <f aca="false">IF($B674="","",$B674+10)</f>
        <v/>
      </c>
      <c r="R674" s="20"/>
      <c r="S674" s="23" t="str">
        <f aca="true">IF($B674="","",IF(AND($N674="Y",$P674="Y",$R674="Y"),"Done",IF(OR(AND($M674&lt;=TODAY(),$N674&lt;&gt;"Y"),AND($O674&lt;=TODAY(),$P674&lt;&gt;"Y"),AND($Q674&lt;=TODAY(),$R674&lt;&gt;"Y")),"DUE","Scheduled")))</f>
        <v/>
      </c>
      <c r="T674" s="20"/>
      <c r="U674" s="23" t="str">
        <f aca="false">IF($B674="","",IF(OR($T674&lt;=2,$I674="Editorial"),"REDO",""))</f>
        <v/>
      </c>
      <c r="V674" s="18" t="str">
        <f aca="false">IF($S674&lt;&gt;"DUE","",COUNTIF($S$3:$S674,"DUE"))</f>
        <v/>
      </c>
    </row>
    <row r="675" customFormat="false" ht="15" hidden="false" customHeight="false" outlineLevel="0" collapsed="false">
      <c r="A675" s="12" t="str">
        <f aca="false">IF($F675="","",ROW()-2)</f>
        <v/>
      </c>
      <c r="B675" s="19"/>
      <c r="C675" s="20"/>
      <c r="D675" s="21"/>
      <c r="E675" s="21"/>
      <c r="F675" s="21"/>
      <c r="G675" s="20"/>
      <c r="H675" s="21"/>
      <c r="I675" s="20"/>
      <c r="J675" s="20"/>
      <c r="K675" s="21"/>
      <c r="L675" s="21"/>
      <c r="M675" s="22" t="str">
        <f aca="false">IF($B675="","",$B675+2)</f>
        <v/>
      </c>
      <c r="N675" s="20"/>
      <c r="O675" s="22" t="str">
        <f aca="false">IF($B675="","",$B675+5)</f>
        <v/>
      </c>
      <c r="P675" s="20"/>
      <c r="Q675" s="22" t="str">
        <f aca="false">IF($B675="","",$B675+10)</f>
        <v/>
      </c>
      <c r="R675" s="20"/>
      <c r="S675" s="23" t="str">
        <f aca="true">IF($B675="","",IF(AND($N675="Y",$P675="Y",$R675="Y"),"Done",IF(OR(AND($M675&lt;=TODAY(),$N675&lt;&gt;"Y"),AND($O675&lt;=TODAY(),$P675&lt;&gt;"Y"),AND($Q675&lt;=TODAY(),$R675&lt;&gt;"Y")),"DUE","Scheduled")))</f>
        <v/>
      </c>
      <c r="T675" s="20"/>
      <c r="U675" s="23" t="str">
        <f aca="false">IF($B675="","",IF(OR($T675&lt;=2,$I675="Editorial"),"REDO",""))</f>
        <v/>
      </c>
      <c r="V675" s="18" t="str">
        <f aca="false">IF($S675&lt;&gt;"DUE","",COUNTIF($S$3:$S675,"DUE"))</f>
        <v/>
      </c>
    </row>
    <row r="676" customFormat="false" ht="15" hidden="false" customHeight="false" outlineLevel="0" collapsed="false">
      <c r="A676" s="12" t="str">
        <f aca="false">IF($F676="","",ROW()-2)</f>
        <v/>
      </c>
      <c r="B676" s="19"/>
      <c r="C676" s="20"/>
      <c r="D676" s="21"/>
      <c r="E676" s="21"/>
      <c r="F676" s="21"/>
      <c r="G676" s="20"/>
      <c r="H676" s="21"/>
      <c r="I676" s="20"/>
      <c r="J676" s="20"/>
      <c r="K676" s="21"/>
      <c r="L676" s="21"/>
      <c r="M676" s="22" t="str">
        <f aca="false">IF($B676="","",$B676+2)</f>
        <v/>
      </c>
      <c r="N676" s="20"/>
      <c r="O676" s="22" t="str">
        <f aca="false">IF($B676="","",$B676+5)</f>
        <v/>
      </c>
      <c r="P676" s="20"/>
      <c r="Q676" s="22" t="str">
        <f aca="false">IF($B676="","",$B676+10)</f>
        <v/>
      </c>
      <c r="R676" s="20"/>
      <c r="S676" s="23" t="str">
        <f aca="true">IF($B676="","",IF(AND($N676="Y",$P676="Y",$R676="Y"),"Done",IF(OR(AND($M676&lt;=TODAY(),$N676&lt;&gt;"Y"),AND($O676&lt;=TODAY(),$P676&lt;&gt;"Y"),AND($Q676&lt;=TODAY(),$R676&lt;&gt;"Y")),"DUE","Scheduled")))</f>
        <v/>
      </c>
      <c r="T676" s="20"/>
      <c r="U676" s="23" t="str">
        <f aca="false">IF($B676="","",IF(OR($T676&lt;=2,$I676="Editorial"),"REDO",""))</f>
        <v/>
      </c>
      <c r="V676" s="18" t="str">
        <f aca="false">IF($S676&lt;&gt;"DUE","",COUNTIF($S$3:$S676,"DUE"))</f>
        <v/>
      </c>
    </row>
    <row r="677" customFormat="false" ht="15" hidden="false" customHeight="false" outlineLevel="0" collapsed="false">
      <c r="A677" s="12" t="str">
        <f aca="false">IF($F677="","",ROW()-2)</f>
        <v/>
      </c>
      <c r="B677" s="19"/>
      <c r="C677" s="20"/>
      <c r="D677" s="21"/>
      <c r="E677" s="21"/>
      <c r="F677" s="21"/>
      <c r="G677" s="20"/>
      <c r="H677" s="21"/>
      <c r="I677" s="20"/>
      <c r="J677" s="20"/>
      <c r="K677" s="21"/>
      <c r="L677" s="21"/>
      <c r="M677" s="22" t="str">
        <f aca="false">IF($B677="","",$B677+2)</f>
        <v/>
      </c>
      <c r="N677" s="20"/>
      <c r="O677" s="22" t="str">
        <f aca="false">IF($B677="","",$B677+5)</f>
        <v/>
      </c>
      <c r="P677" s="20"/>
      <c r="Q677" s="22" t="str">
        <f aca="false">IF($B677="","",$B677+10)</f>
        <v/>
      </c>
      <c r="R677" s="20"/>
      <c r="S677" s="23" t="str">
        <f aca="true">IF($B677="","",IF(AND($N677="Y",$P677="Y",$R677="Y"),"Done",IF(OR(AND($M677&lt;=TODAY(),$N677&lt;&gt;"Y"),AND($O677&lt;=TODAY(),$P677&lt;&gt;"Y"),AND($Q677&lt;=TODAY(),$R677&lt;&gt;"Y")),"DUE","Scheduled")))</f>
        <v/>
      </c>
      <c r="T677" s="20"/>
      <c r="U677" s="23" t="str">
        <f aca="false">IF($B677="","",IF(OR($T677&lt;=2,$I677="Editorial"),"REDO",""))</f>
        <v/>
      </c>
      <c r="V677" s="18" t="str">
        <f aca="false">IF($S677&lt;&gt;"DUE","",COUNTIF($S$3:$S677,"DUE"))</f>
        <v/>
      </c>
    </row>
    <row r="678" customFormat="false" ht="15" hidden="false" customHeight="false" outlineLevel="0" collapsed="false">
      <c r="A678" s="12" t="str">
        <f aca="false">IF($F678="","",ROW()-2)</f>
        <v/>
      </c>
      <c r="B678" s="19"/>
      <c r="C678" s="20"/>
      <c r="D678" s="21"/>
      <c r="E678" s="21"/>
      <c r="F678" s="21"/>
      <c r="G678" s="20"/>
      <c r="H678" s="21"/>
      <c r="I678" s="20"/>
      <c r="J678" s="20"/>
      <c r="K678" s="21"/>
      <c r="L678" s="21"/>
      <c r="M678" s="22" t="str">
        <f aca="false">IF($B678="","",$B678+2)</f>
        <v/>
      </c>
      <c r="N678" s="20"/>
      <c r="O678" s="22" t="str">
        <f aca="false">IF($B678="","",$B678+5)</f>
        <v/>
      </c>
      <c r="P678" s="20"/>
      <c r="Q678" s="22" t="str">
        <f aca="false">IF($B678="","",$B678+10)</f>
        <v/>
      </c>
      <c r="R678" s="20"/>
      <c r="S678" s="23" t="str">
        <f aca="true">IF($B678="","",IF(AND($N678="Y",$P678="Y",$R678="Y"),"Done",IF(OR(AND($M678&lt;=TODAY(),$N678&lt;&gt;"Y"),AND($O678&lt;=TODAY(),$P678&lt;&gt;"Y"),AND($Q678&lt;=TODAY(),$R678&lt;&gt;"Y")),"DUE","Scheduled")))</f>
        <v/>
      </c>
      <c r="T678" s="20"/>
      <c r="U678" s="23" t="str">
        <f aca="false">IF($B678="","",IF(OR($T678&lt;=2,$I678="Editorial"),"REDO",""))</f>
        <v/>
      </c>
      <c r="V678" s="18" t="str">
        <f aca="false">IF($S678&lt;&gt;"DUE","",COUNTIF($S$3:$S678,"DUE"))</f>
        <v/>
      </c>
    </row>
    <row r="679" customFormat="false" ht="15" hidden="false" customHeight="false" outlineLevel="0" collapsed="false">
      <c r="A679" s="12" t="str">
        <f aca="false">IF($F679="","",ROW()-2)</f>
        <v/>
      </c>
      <c r="B679" s="19"/>
      <c r="C679" s="20"/>
      <c r="D679" s="21"/>
      <c r="E679" s="21"/>
      <c r="F679" s="21"/>
      <c r="G679" s="20"/>
      <c r="H679" s="21"/>
      <c r="I679" s="20"/>
      <c r="J679" s="20"/>
      <c r="K679" s="21"/>
      <c r="L679" s="21"/>
      <c r="M679" s="22" t="str">
        <f aca="false">IF($B679="","",$B679+2)</f>
        <v/>
      </c>
      <c r="N679" s="20"/>
      <c r="O679" s="22" t="str">
        <f aca="false">IF($B679="","",$B679+5)</f>
        <v/>
      </c>
      <c r="P679" s="20"/>
      <c r="Q679" s="22" t="str">
        <f aca="false">IF($B679="","",$B679+10)</f>
        <v/>
      </c>
      <c r="R679" s="20"/>
      <c r="S679" s="23" t="str">
        <f aca="true">IF($B679="","",IF(AND($N679="Y",$P679="Y",$R679="Y"),"Done",IF(OR(AND($M679&lt;=TODAY(),$N679&lt;&gt;"Y"),AND($O679&lt;=TODAY(),$P679&lt;&gt;"Y"),AND($Q679&lt;=TODAY(),$R679&lt;&gt;"Y")),"DUE","Scheduled")))</f>
        <v/>
      </c>
      <c r="T679" s="20"/>
      <c r="U679" s="23" t="str">
        <f aca="false">IF($B679="","",IF(OR($T679&lt;=2,$I679="Editorial"),"REDO",""))</f>
        <v/>
      </c>
      <c r="V679" s="18" t="str">
        <f aca="false">IF($S679&lt;&gt;"DUE","",COUNTIF($S$3:$S679,"DUE"))</f>
        <v/>
      </c>
    </row>
    <row r="680" customFormat="false" ht="15" hidden="false" customHeight="false" outlineLevel="0" collapsed="false">
      <c r="A680" s="12" t="str">
        <f aca="false">IF($F680="","",ROW()-2)</f>
        <v/>
      </c>
      <c r="B680" s="19"/>
      <c r="C680" s="20"/>
      <c r="D680" s="21"/>
      <c r="E680" s="21"/>
      <c r="F680" s="21"/>
      <c r="G680" s="20"/>
      <c r="H680" s="21"/>
      <c r="I680" s="20"/>
      <c r="J680" s="20"/>
      <c r="K680" s="21"/>
      <c r="L680" s="21"/>
      <c r="M680" s="22" t="str">
        <f aca="false">IF($B680="","",$B680+2)</f>
        <v/>
      </c>
      <c r="N680" s="20"/>
      <c r="O680" s="22" t="str">
        <f aca="false">IF($B680="","",$B680+5)</f>
        <v/>
      </c>
      <c r="P680" s="20"/>
      <c r="Q680" s="22" t="str">
        <f aca="false">IF($B680="","",$B680+10)</f>
        <v/>
      </c>
      <c r="R680" s="20"/>
      <c r="S680" s="23" t="str">
        <f aca="true">IF($B680="","",IF(AND($N680="Y",$P680="Y",$R680="Y"),"Done",IF(OR(AND($M680&lt;=TODAY(),$N680&lt;&gt;"Y"),AND($O680&lt;=TODAY(),$P680&lt;&gt;"Y"),AND($Q680&lt;=TODAY(),$R680&lt;&gt;"Y")),"DUE","Scheduled")))</f>
        <v/>
      </c>
      <c r="T680" s="20"/>
      <c r="U680" s="23" t="str">
        <f aca="false">IF($B680="","",IF(OR($T680&lt;=2,$I680="Editorial"),"REDO",""))</f>
        <v/>
      </c>
      <c r="V680" s="18" t="str">
        <f aca="false">IF($S680&lt;&gt;"DUE","",COUNTIF($S$3:$S680,"DUE"))</f>
        <v/>
      </c>
    </row>
    <row r="681" customFormat="false" ht="15" hidden="false" customHeight="false" outlineLevel="0" collapsed="false">
      <c r="A681" s="12" t="str">
        <f aca="false">IF($F681="","",ROW()-2)</f>
        <v/>
      </c>
      <c r="B681" s="19"/>
      <c r="C681" s="20"/>
      <c r="D681" s="21"/>
      <c r="E681" s="21"/>
      <c r="F681" s="21"/>
      <c r="G681" s="20"/>
      <c r="H681" s="21"/>
      <c r="I681" s="20"/>
      <c r="J681" s="20"/>
      <c r="K681" s="21"/>
      <c r="L681" s="21"/>
      <c r="M681" s="22" t="str">
        <f aca="false">IF($B681="","",$B681+2)</f>
        <v/>
      </c>
      <c r="N681" s="20"/>
      <c r="O681" s="22" t="str">
        <f aca="false">IF($B681="","",$B681+5)</f>
        <v/>
      </c>
      <c r="P681" s="20"/>
      <c r="Q681" s="22" t="str">
        <f aca="false">IF($B681="","",$B681+10)</f>
        <v/>
      </c>
      <c r="R681" s="20"/>
      <c r="S681" s="23" t="str">
        <f aca="true">IF($B681="","",IF(AND($N681="Y",$P681="Y",$R681="Y"),"Done",IF(OR(AND($M681&lt;=TODAY(),$N681&lt;&gt;"Y"),AND($O681&lt;=TODAY(),$P681&lt;&gt;"Y"),AND($Q681&lt;=TODAY(),$R681&lt;&gt;"Y")),"DUE","Scheduled")))</f>
        <v/>
      </c>
      <c r="T681" s="20"/>
      <c r="U681" s="23" t="str">
        <f aca="false">IF($B681="","",IF(OR($T681&lt;=2,$I681="Editorial"),"REDO",""))</f>
        <v/>
      </c>
      <c r="V681" s="18" t="str">
        <f aca="false">IF($S681&lt;&gt;"DUE","",COUNTIF($S$3:$S681,"DUE"))</f>
        <v/>
      </c>
    </row>
    <row r="682" customFormat="false" ht="15" hidden="false" customHeight="false" outlineLevel="0" collapsed="false">
      <c r="A682" s="12" t="str">
        <f aca="false">IF($F682="","",ROW()-2)</f>
        <v/>
      </c>
      <c r="B682" s="19"/>
      <c r="C682" s="20"/>
      <c r="D682" s="21"/>
      <c r="E682" s="21"/>
      <c r="F682" s="21"/>
      <c r="G682" s="20"/>
      <c r="H682" s="21"/>
      <c r="I682" s="20"/>
      <c r="J682" s="20"/>
      <c r="K682" s="21"/>
      <c r="L682" s="21"/>
      <c r="M682" s="22" t="str">
        <f aca="false">IF($B682="","",$B682+2)</f>
        <v/>
      </c>
      <c r="N682" s="20"/>
      <c r="O682" s="22" t="str">
        <f aca="false">IF($B682="","",$B682+5)</f>
        <v/>
      </c>
      <c r="P682" s="20"/>
      <c r="Q682" s="22" t="str">
        <f aca="false">IF($B682="","",$B682+10)</f>
        <v/>
      </c>
      <c r="R682" s="20"/>
      <c r="S682" s="23" t="str">
        <f aca="true">IF($B682="","",IF(AND($N682="Y",$P682="Y",$R682="Y"),"Done",IF(OR(AND($M682&lt;=TODAY(),$N682&lt;&gt;"Y"),AND($O682&lt;=TODAY(),$P682&lt;&gt;"Y"),AND($Q682&lt;=TODAY(),$R682&lt;&gt;"Y")),"DUE","Scheduled")))</f>
        <v/>
      </c>
      <c r="T682" s="20"/>
      <c r="U682" s="23" t="str">
        <f aca="false">IF($B682="","",IF(OR($T682&lt;=2,$I682="Editorial"),"REDO",""))</f>
        <v/>
      </c>
      <c r="V682" s="18" t="str">
        <f aca="false">IF($S682&lt;&gt;"DUE","",COUNTIF($S$3:$S682,"DUE"))</f>
        <v/>
      </c>
    </row>
    <row r="683" customFormat="false" ht="15" hidden="false" customHeight="false" outlineLevel="0" collapsed="false">
      <c r="A683" s="12" t="str">
        <f aca="false">IF($F683="","",ROW()-2)</f>
        <v/>
      </c>
      <c r="B683" s="19"/>
      <c r="C683" s="20"/>
      <c r="D683" s="21"/>
      <c r="E683" s="21"/>
      <c r="F683" s="21"/>
      <c r="G683" s="20"/>
      <c r="H683" s="21"/>
      <c r="I683" s="20"/>
      <c r="J683" s="20"/>
      <c r="K683" s="21"/>
      <c r="L683" s="21"/>
      <c r="M683" s="22" t="str">
        <f aca="false">IF($B683="","",$B683+2)</f>
        <v/>
      </c>
      <c r="N683" s="20"/>
      <c r="O683" s="22" t="str">
        <f aca="false">IF($B683="","",$B683+5)</f>
        <v/>
      </c>
      <c r="P683" s="20"/>
      <c r="Q683" s="22" t="str">
        <f aca="false">IF($B683="","",$B683+10)</f>
        <v/>
      </c>
      <c r="R683" s="20"/>
      <c r="S683" s="23" t="str">
        <f aca="true">IF($B683="","",IF(AND($N683="Y",$P683="Y",$R683="Y"),"Done",IF(OR(AND($M683&lt;=TODAY(),$N683&lt;&gt;"Y"),AND($O683&lt;=TODAY(),$P683&lt;&gt;"Y"),AND($Q683&lt;=TODAY(),$R683&lt;&gt;"Y")),"DUE","Scheduled")))</f>
        <v/>
      </c>
      <c r="T683" s="20"/>
      <c r="U683" s="23" t="str">
        <f aca="false">IF($B683="","",IF(OR($T683&lt;=2,$I683="Editorial"),"REDO",""))</f>
        <v/>
      </c>
      <c r="V683" s="18" t="str">
        <f aca="false">IF($S683&lt;&gt;"DUE","",COUNTIF($S$3:$S683,"DUE"))</f>
        <v/>
      </c>
    </row>
    <row r="684" customFormat="false" ht="15" hidden="false" customHeight="false" outlineLevel="0" collapsed="false">
      <c r="A684" s="12" t="str">
        <f aca="false">IF($F684="","",ROW()-2)</f>
        <v/>
      </c>
      <c r="B684" s="19"/>
      <c r="C684" s="20"/>
      <c r="D684" s="21"/>
      <c r="E684" s="21"/>
      <c r="F684" s="21"/>
      <c r="G684" s="20"/>
      <c r="H684" s="21"/>
      <c r="I684" s="20"/>
      <c r="J684" s="20"/>
      <c r="K684" s="21"/>
      <c r="L684" s="21"/>
      <c r="M684" s="22" t="str">
        <f aca="false">IF($B684="","",$B684+2)</f>
        <v/>
      </c>
      <c r="N684" s="20"/>
      <c r="O684" s="22" t="str">
        <f aca="false">IF($B684="","",$B684+5)</f>
        <v/>
      </c>
      <c r="P684" s="20"/>
      <c r="Q684" s="22" t="str">
        <f aca="false">IF($B684="","",$B684+10)</f>
        <v/>
      </c>
      <c r="R684" s="20"/>
      <c r="S684" s="23" t="str">
        <f aca="true">IF($B684="","",IF(AND($N684="Y",$P684="Y",$R684="Y"),"Done",IF(OR(AND($M684&lt;=TODAY(),$N684&lt;&gt;"Y"),AND($O684&lt;=TODAY(),$P684&lt;&gt;"Y"),AND($Q684&lt;=TODAY(),$R684&lt;&gt;"Y")),"DUE","Scheduled")))</f>
        <v/>
      </c>
      <c r="T684" s="20"/>
      <c r="U684" s="23" t="str">
        <f aca="false">IF($B684="","",IF(OR($T684&lt;=2,$I684="Editorial"),"REDO",""))</f>
        <v/>
      </c>
      <c r="V684" s="18" t="str">
        <f aca="false">IF($S684&lt;&gt;"DUE","",COUNTIF($S$3:$S684,"DUE"))</f>
        <v/>
      </c>
    </row>
    <row r="685" customFormat="false" ht="15" hidden="false" customHeight="false" outlineLevel="0" collapsed="false">
      <c r="A685" s="12" t="str">
        <f aca="false">IF($F685="","",ROW()-2)</f>
        <v/>
      </c>
      <c r="B685" s="19"/>
      <c r="C685" s="20"/>
      <c r="D685" s="21"/>
      <c r="E685" s="21"/>
      <c r="F685" s="21"/>
      <c r="G685" s="20"/>
      <c r="H685" s="21"/>
      <c r="I685" s="20"/>
      <c r="J685" s="20"/>
      <c r="K685" s="21"/>
      <c r="L685" s="21"/>
      <c r="M685" s="22" t="str">
        <f aca="false">IF($B685="","",$B685+2)</f>
        <v/>
      </c>
      <c r="N685" s="20"/>
      <c r="O685" s="22" t="str">
        <f aca="false">IF($B685="","",$B685+5)</f>
        <v/>
      </c>
      <c r="P685" s="20"/>
      <c r="Q685" s="22" t="str">
        <f aca="false">IF($B685="","",$B685+10)</f>
        <v/>
      </c>
      <c r="R685" s="20"/>
      <c r="S685" s="23" t="str">
        <f aca="true">IF($B685="","",IF(AND($N685="Y",$P685="Y",$R685="Y"),"Done",IF(OR(AND($M685&lt;=TODAY(),$N685&lt;&gt;"Y"),AND($O685&lt;=TODAY(),$P685&lt;&gt;"Y"),AND($Q685&lt;=TODAY(),$R685&lt;&gt;"Y")),"DUE","Scheduled")))</f>
        <v/>
      </c>
      <c r="T685" s="20"/>
      <c r="U685" s="23" t="str">
        <f aca="false">IF($B685="","",IF(OR($T685&lt;=2,$I685="Editorial"),"REDO",""))</f>
        <v/>
      </c>
      <c r="V685" s="18" t="str">
        <f aca="false">IF($S685&lt;&gt;"DUE","",COUNTIF($S$3:$S685,"DUE"))</f>
        <v/>
      </c>
    </row>
    <row r="686" customFormat="false" ht="15" hidden="false" customHeight="false" outlineLevel="0" collapsed="false">
      <c r="A686" s="12" t="str">
        <f aca="false">IF($F686="","",ROW()-2)</f>
        <v/>
      </c>
      <c r="B686" s="19"/>
      <c r="C686" s="20"/>
      <c r="D686" s="21"/>
      <c r="E686" s="21"/>
      <c r="F686" s="21"/>
      <c r="G686" s="20"/>
      <c r="H686" s="21"/>
      <c r="I686" s="20"/>
      <c r="J686" s="20"/>
      <c r="K686" s="21"/>
      <c r="L686" s="21"/>
      <c r="M686" s="22" t="str">
        <f aca="false">IF($B686="","",$B686+2)</f>
        <v/>
      </c>
      <c r="N686" s="20"/>
      <c r="O686" s="22" t="str">
        <f aca="false">IF($B686="","",$B686+5)</f>
        <v/>
      </c>
      <c r="P686" s="20"/>
      <c r="Q686" s="22" t="str">
        <f aca="false">IF($B686="","",$B686+10)</f>
        <v/>
      </c>
      <c r="R686" s="20"/>
      <c r="S686" s="23" t="str">
        <f aca="true">IF($B686="","",IF(AND($N686="Y",$P686="Y",$R686="Y"),"Done",IF(OR(AND($M686&lt;=TODAY(),$N686&lt;&gt;"Y"),AND($O686&lt;=TODAY(),$P686&lt;&gt;"Y"),AND($Q686&lt;=TODAY(),$R686&lt;&gt;"Y")),"DUE","Scheduled")))</f>
        <v/>
      </c>
      <c r="T686" s="20"/>
      <c r="U686" s="23" t="str">
        <f aca="false">IF($B686="","",IF(OR($T686&lt;=2,$I686="Editorial"),"REDO",""))</f>
        <v/>
      </c>
      <c r="V686" s="18" t="str">
        <f aca="false">IF($S686&lt;&gt;"DUE","",COUNTIF($S$3:$S686,"DUE"))</f>
        <v/>
      </c>
    </row>
    <row r="687" customFormat="false" ht="15" hidden="false" customHeight="false" outlineLevel="0" collapsed="false">
      <c r="A687" s="12" t="str">
        <f aca="false">IF($F687="","",ROW()-2)</f>
        <v/>
      </c>
      <c r="B687" s="19"/>
      <c r="C687" s="20"/>
      <c r="D687" s="21"/>
      <c r="E687" s="21"/>
      <c r="F687" s="21"/>
      <c r="G687" s="20"/>
      <c r="H687" s="21"/>
      <c r="I687" s="20"/>
      <c r="J687" s="20"/>
      <c r="K687" s="21"/>
      <c r="L687" s="21"/>
      <c r="M687" s="22" t="str">
        <f aca="false">IF($B687="","",$B687+2)</f>
        <v/>
      </c>
      <c r="N687" s="20"/>
      <c r="O687" s="22" t="str">
        <f aca="false">IF($B687="","",$B687+5)</f>
        <v/>
      </c>
      <c r="P687" s="20"/>
      <c r="Q687" s="22" t="str">
        <f aca="false">IF($B687="","",$B687+10)</f>
        <v/>
      </c>
      <c r="R687" s="20"/>
      <c r="S687" s="23" t="str">
        <f aca="true">IF($B687="","",IF(AND($N687="Y",$P687="Y",$R687="Y"),"Done",IF(OR(AND($M687&lt;=TODAY(),$N687&lt;&gt;"Y"),AND($O687&lt;=TODAY(),$P687&lt;&gt;"Y"),AND($Q687&lt;=TODAY(),$R687&lt;&gt;"Y")),"DUE","Scheduled")))</f>
        <v/>
      </c>
      <c r="T687" s="20"/>
      <c r="U687" s="23" t="str">
        <f aca="false">IF($B687="","",IF(OR($T687&lt;=2,$I687="Editorial"),"REDO",""))</f>
        <v/>
      </c>
      <c r="V687" s="18" t="str">
        <f aca="false">IF($S687&lt;&gt;"DUE","",COUNTIF($S$3:$S687,"DUE"))</f>
        <v/>
      </c>
    </row>
    <row r="688" customFormat="false" ht="15" hidden="false" customHeight="false" outlineLevel="0" collapsed="false">
      <c r="A688" s="12" t="str">
        <f aca="false">IF($F688="","",ROW()-2)</f>
        <v/>
      </c>
      <c r="B688" s="19"/>
      <c r="C688" s="20"/>
      <c r="D688" s="21"/>
      <c r="E688" s="21"/>
      <c r="F688" s="21"/>
      <c r="G688" s="20"/>
      <c r="H688" s="21"/>
      <c r="I688" s="20"/>
      <c r="J688" s="20"/>
      <c r="K688" s="21"/>
      <c r="L688" s="21"/>
      <c r="M688" s="22" t="str">
        <f aca="false">IF($B688="","",$B688+2)</f>
        <v/>
      </c>
      <c r="N688" s="20"/>
      <c r="O688" s="22" t="str">
        <f aca="false">IF($B688="","",$B688+5)</f>
        <v/>
      </c>
      <c r="P688" s="20"/>
      <c r="Q688" s="22" t="str">
        <f aca="false">IF($B688="","",$B688+10)</f>
        <v/>
      </c>
      <c r="R688" s="20"/>
      <c r="S688" s="23" t="str">
        <f aca="true">IF($B688="","",IF(AND($N688="Y",$P688="Y",$R688="Y"),"Done",IF(OR(AND($M688&lt;=TODAY(),$N688&lt;&gt;"Y"),AND($O688&lt;=TODAY(),$P688&lt;&gt;"Y"),AND($Q688&lt;=TODAY(),$R688&lt;&gt;"Y")),"DUE","Scheduled")))</f>
        <v/>
      </c>
      <c r="T688" s="20"/>
      <c r="U688" s="23" t="str">
        <f aca="false">IF($B688="","",IF(OR($T688&lt;=2,$I688="Editorial"),"REDO",""))</f>
        <v/>
      </c>
      <c r="V688" s="18" t="str">
        <f aca="false">IF($S688&lt;&gt;"DUE","",COUNTIF($S$3:$S688,"DUE"))</f>
        <v/>
      </c>
    </row>
    <row r="689" customFormat="false" ht="15" hidden="false" customHeight="false" outlineLevel="0" collapsed="false">
      <c r="A689" s="12" t="str">
        <f aca="false">IF($F689="","",ROW()-2)</f>
        <v/>
      </c>
      <c r="B689" s="19"/>
      <c r="C689" s="20"/>
      <c r="D689" s="21"/>
      <c r="E689" s="21"/>
      <c r="F689" s="21"/>
      <c r="G689" s="20"/>
      <c r="H689" s="21"/>
      <c r="I689" s="20"/>
      <c r="J689" s="20"/>
      <c r="K689" s="21"/>
      <c r="L689" s="21"/>
      <c r="M689" s="22" t="str">
        <f aca="false">IF($B689="","",$B689+2)</f>
        <v/>
      </c>
      <c r="N689" s="20"/>
      <c r="O689" s="22" t="str">
        <f aca="false">IF($B689="","",$B689+5)</f>
        <v/>
      </c>
      <c r="P689" s="20"/>
      <c r="Q689" s="22" t="str">
        <f aca="false">IF($B689="","",$B689+10)</f>
        <v/>
      </c>
      <c r="R689" s="20"/>
      <c r="S689" s="23" t="str">
        <f aca="true">IF($B689="","",IF(AND($N689="Y",$P689="Y",$R689="Y"),"Done",IF(OR(AND($M689&lt;=TODAY(),$N689&lt;&gt;"Y"),AND($O689&lt;=TODAY(),$P689&lt;&gt;"Y"),AND($Q689&lt;=TODAY(),$R689&lt;&gt;"Y")),"DUE","Scheduled")))</f>
        <v/>
      </c>
      <c r="T689" s="20"/>
      <c r="U689" s="23" t="str">
        <f aca="false">IF($B689="","",IF(OR($T689&lt;=2,$I689="Editorial"),"REDO",""))</f>
        <v/>
      </c>
      <c r="V689" s="18" t="str">
        <f aca="false">IF($S689&lt;&gt;"DUE","",COUNTIF($S$3:$S689,"DUE"))</f>
        <v/>
      </c>
    </row>
    <row r="690" customFormat="false" ht="15" hidden="false" customHeight="false" outlineLevel="0" collapsed="false">
      <c r="A690" s="12" t="str">
        <f aca="false">IF($F690="","",ROW()-2)</f>
        <v/>
      </c>
      <c r="B690" s="19"/>
      <c r="C690" s="20"/>
      <c r="D690" s="21"/>
      <c r="E690" s="21"/>
      <c r="F690" s="21"/>
      <c r="G690" s="20"/>
      <c r="H690" s="21"/>
      <c r="I690" s="20"/>
      <c r="J690" s="20"/>
      <c r="K690" s="21"/>
      <c r="L690" s="21"/>
      <c r="M690" s="22" t="str">
        <f aca="false">IF($B690="","",$B690+2)</f>
        <v/>
      </c>
      <c r="N690" s="20"/>
      <c r="O690" s="22" t="str">
        <f aca="false">IF($B690="","",$B690+5)</f>
        <v/>
      </c>
      <c r="P690" s="20"/>
      <c r="Q690" s="22" t="str">
        <f aca="false">IF($B690="","",$B690+10)</f>
        <v/>
      </c>
      <c r="R690" s="20"/>
      <c r="S690" s="23" t="str">
        <f aca="true">IF($B690="","",IF(AND($N690="Y",$P690="Y",$R690="Y"),"Done",IF(OR(AND($M690&lt;=TODAY(),$N690&lt;&gt;"Y"),AND($O690&lt;=TODAY(),$P690&lt;&gt;"Y"),AND($Q690&lt;=TODAY(),$R690&lt;&gt;"Y")),"DUE","Scheduled")))</f>
        <v/>
      </c>
      <c r="T690" s="20"/>
      <c r="U690" s="23" t="str">
        <f aca="false">IF($B690="","",IF(OR($T690&lt;=2,$I690="Editorial"),"REDO",""))</f>
        <v/>
      </c>
      <c r="V690" s="18" t="str">
        <f aca="false">IF($S690&lt;&gt;"DUE","",COUNTIF($S$3:$S690,"DUE"))</f>
        <v/>
      </c>
    </row>
    <row r="691" customFormat="false" ht="15" hidden="false" customHeight="false" outlineLevel="0" collapsed="false">
      <c r="A691" s="12" t="str">
        <f aca="false">IF($F691="","",ROW()-2)</f>
        <v/>
      </c>
      <c r="B691" s="19"/>
      <c r="C691" s="20"/>
      <c r="D691" s="21"/>
      <c r="E691" s="21"/>
      <c r="F691" s="21"/>
      <c r="G691" s="20"/>
      <c r="H691" s="21"/>
      <c r="I691" s="20"/>
      <c r="J691" s="20"/>
      <c r="K691" s="21"/>
      <c r="L691" s="21"/>
      <c r="M691" s="22" t="str">
        <f aca="false">IF($B691="","",$B691+2)</f>
        <v/>
      </c>
      <c r="N691" s="20"/>
      <c r="O691" s="22" t="str">
        <f aca="false">IF($B691="","",$B691+5)</f>
        <v/>
      </c>
      <c r="P691" s="20"/>
      <c r="Q691" s="22" t="str">
        <f aca="false">IF($B691="","",$B691+10)</f>
        <v/>
      </c>
      <c r="R691" s="20"/>
      <c r="S691" s="23" t="str">
        <f aca="true">IF($B691="","",IF(AND($N691="Y",$P691="Y",$R691="Y"),"Done",IF(OR(AND($M691&lt;=TODAY(),$N691&lt;&gt;"Y"),AND($O691&lt;=TODAY(),$P691&lt;&gt;"Y"),AND($Q691&lt;=TODAY(),$R691&lt;&gt;"Y")),"DUE","Scheduled")))</f>
        <v/>
      </c>
      <c r="T691" s="20"/>
      <c r="U691" s="23" t="str">
        <f aca="false">IF($B691="","",IF(OR($T691&lt;=2,$I691="Editorial"),"REDO",""))</f>
        <v/>
      </c>
      <c r="V691" s="18" t="str">
        <f aca="false">IF($S691&lt;&gt;"DUE","",COUNTIF($S$3:$S691,"DUE"))</f>
        <v/>
      </c>
    </row>
    <row r="692" customFormat="false" ht="15" hidden="false" customHeight="false" outlineLevel="0" collapsed="false">
      <c r="A692" s="12" t="str">
        <f aca="false">IF($F692="","",ROW()-2)</f>
        <v/>
      </c>
      <c r="B692" s="19"/>
      <c r="C692" s="20"/>
      <c r="D692" s="21"/>
      <c r="E692" s="21"/>
      <c r="F692" s="21"/>
      <c r="G692" s="20"/>
      <c r="H692" s="21"/>
      <c r="I692" s="20"/>
      <c r="J692" s="20"/>
      <c r="K692" s="21"/>
      <c r="L692" s="21"/>
      <c r="M692" s="22" t="str">
        <f aca="false">IF($B692="","",$B692+2)</f>
        <v/>
      </c>
      <c r="N692" s="20"/>
      <c r="O692" s="22" t="str">
        <f aca="false">IF($B692="","",$B692+5)</f>
        <v/>
      </c>
      <c r="P692" s="20"/>
      <c r="Q692" s="22" t="str">
        <f aca="false">IF($B692="","",$B692+10)</f>
        <v/>
      </c>
      <c r="R692" s="20"/>
      <c r="S692" s="23" t="str">
        <f aca="true">IF($B692="","",IF(AND($N692="Y",$P692="Y",$R692="Y"),"Done",IF(OR(AND($M692&lt;=TODAY(),$N692&lt;&gt;"Y"),AND($O692&lt;=TODAY(),$P692&lt;&gt;"Y"),AND($Q692&lt;=TODAY(),$R692&lt;&gt;"Y")),"DUE","Scheduled")))</f>
        <v/>
      </c>
      <c r="T692" s="20"/>
      <c r="U692" s="23" t="str">
        <f aca="false">IF($B692="","",IF(OR($T692&lt;=2,$I692="Editorial"),"REDO",""))</f>
        <v/>
      </c>
      <c r="V692" s="18" t="str">
        <f aca="false">IF($S692&lt;&gt;"DUE","",COUNTIF($S$3:$S692,"DUE"))</f>
        <v/>
      </c>
    </row>
    <row r="693" customFormat="false" ht="15" hidden="false" customHeight="false" outlineLevel="0" collapsed="false">
      <c r="A693" s="12" t="str">
        <f aca="false">IF($F693="","",ROW()-2)</f>
        <v/>
      </c>
      <c r="B693" s="19"/>
      <c r="C693" s="20"/>
      <c r="D693" s="21"/>
      <c r="E693" s="21"/>
      <c r="F693" s="21"/>
      <c r="G693" s="20"/>
      <c r="H693" s="21"/>
      <c r="I693" s="20"/>
      <c r="J693" s="20"/>
      <c r="K693" s="21"/>
      <c r="L693" s="21"/>
      <c r="M693" s="22" t="str">
        <f aca="false">IF($B693="","",$B693+2)</f>
        <v/>
      </c>
      <c r="N693" s="20"/>
      <c r="O693" s="22" t="str">
        <f aca="false">IF($B693="","",$B693+5)</f>
        <v/>
      </c>
      <c r="P693" s="20"/>
      <c r="Q693" s="22" t="str">
        <f aca="false">IF($B693="","",$B693+10)</f>
        <v/>
      </c>
      <c r="R693" s="20"/>
      <c r="S693" s="23" t="str">
        <f aca="true">IF($B693="","",IF(AND($N693="Y",$P693="Y",$R693="Y"),"Done",IF(OR(AND($M693&lt;=TODAY(),$N693&lt;&gt;"Y"),AND($O693&lt;=TODAY(),$P693&lt;&gt;"Y"),AND($Q693&lt;=TODAY(),$R693&lt;&gt;"Y")),"DUE","Scheduled")))</f>
        <v/>
      </c>
      <c r="T693" s="20"/>
      <c r="U693" s="23" t="str">
        <f aca="false">IF($B693="","",IF(OR($T693&lt;=2,$I693="Editorial"),"REDO",""))</f>
        <v/>
      </c>
      <c r="V693" s="18" t="str">
        <f aca="false">IF($S693&lt;&gt;"DUE","",COUNTIF($S$3:$S693,"DUE"))</f>
        <v/>
      </c>
    </row>
    <row r="694" customFormat="false" ht="15" hidden="false" customHeight="false" outlineLevel="0" collapsed="false">
      <c r="A694" s="12" t="str">
        <f aca="false">IF($F694="","",ROW()-2)</f>
        <v/>
      </c>
      <c r="B694" s="19"/>
      <c r="C694" s="20"/>
      <c r="D694" s="21"/>
      <c r="E694" s="21"/>
      <c r="F694" s="21"/>
      <c r="G694" s="20"/>
      <c r="H694" s="21"/>
      <c r="I694" s="20"/>
      <c r="J694" s="20"/>
      <c r="K694" s="21"/>
      <c r="L694" s="21"/>
      <c r="M694" s="22" t="str">
        <f aca="false">IF($B694="","",$B694+2)</f>
        <v/>
      </c>
      <c r="N694" s="20"/>
      <c r="O694" s="22" t="str">
        <f aca="false">IF($B694="","",$B694+5)</f>
        <v/>
      </c>
      <c r="P694" s="20"/>
      <c r="Q694" s="22" t="str">
        <f aca="false">IF($B694="","",$B694+10)</f>
        <v/>
      </c>
      <c r="R694" s="20"/>
      <c r="S694" s="23" t="str">
        <f aca="true">IF($B694="","",IF(AND($N694="Y",$P694="Y",$R694="Y"),"Done",IF(OR(AND($M694&lt;=TODAY(),$N694&lt;&gt;"Y"),AND($O694&lt;=TODAY(),$P694&lt;&gt;"Y"),AND($Q694&lt;=TODAY(),$R694&lt;&gt;"Y")),"DUE","Scheduled")))</f>
        <v/>
      </c>
      <c r="T694" s="20"/>
      <c r="U694" s="23" t="str">
        <f aca="false">IF($B694="","",IF(OR($T694&lt;=2,$I694="Editorial"),"REDO",""))</f>
        <v/>
      </c>
      <c r="V694" s="18" t="str">
        <f aca="false">IF($S694&lt;&gt;"DUE","",COUNTIF($S$3:$S694,"DUE"))</f>
        <v/>
      </c>
    </row>
    <row r="695" customFormat="false" ht="15" hidden="false" customHeight="false" outlineLevel="0" collapsed="false">
      <c r="A695" s="12" t="str">
        <f aca="false">IF($F695="","",ROW()-2)</f>
        <v/>
      </c>
      <c r="B695" s="19"/>
      <c r="C695" s="20"/>
      <c r="D695" s="21"/>
      <c r="E695" s="21"/>
      <c r="F695" s="21"/>
      <c r="G695" s="20"/>
      <c r="H695" s="21"/>
      <c r="I695" s="20"/>
      <c r="J695" s="20"/>
      <c r="K695" s="21"/>
      <c r="L695" s="21"/>
      <c r="M695" s="22" t="str">
        <f aca="false">IF($B695="","",$B695+2)</f>
        <v/>
      </c>
      <c r="N695" s="20"/>
      <c r="O695" s="22" t="str">
        <f aca="false">IF($B695="","",$B695+5)</f>
        <v/>
      </c>
      <c r="P695" s="20"/>
      <c r="Q695" s="22" t="str">
        <f aca="false">IF($B695="","",$B695+10)</f>
        <v/>
      </c>
      <c r="R695" s="20"/>
      <c r="S695" s="23" t="str">
        <f aca="true">IF($B695="","",IF(AND($N695="Y",$P695="Y",$R695="Y"),"Done",IF(OR(AND($M695&lt;=TODAY(),$N695&lt;&gt;"Y"),AND($O695&lt;=TODAY(),$P695&lt;&gt;"Y"),AND($Q695&lt;=TODAY(),$R695&lt;&gt;"Y")),"DUE","Scheduled")))</f>
        <v/>
      </c>
      <c r="T695" s="20"/>
      <c r="U695" s="23" t="str">
        <f aca="false">IF($B695="","",IF(OR($T695&lt;=2,$I695="Editorial"),"REDO",""))</f>
        <v/>
      </c>
      <c r="V695" s="18" t="str">
        <f aca="false">IF($S695&lt;&gt;"DUE","",COUNTIF($S$3:$S695,"DUE"))</f>
        <v/>
      </c>
    </row>
    <row r="696" customFormat="false" ht="15" hidden="false" customHeight="false" outlineLevel="0" collapsed="false">
      <c r="A696" s="12" t="str">
        <f aca="false">IF($F696="","",ROW()-2)</f>
        <v/>
      </c>
      <c r="B696" s="19"/>
      <c r="C696" s="20"/>
      <c r="D696" s="21"/>
      <c r="E696" s="21"/>
      <c r="F696" s="21"/>
      <c r="G696" s="20"/>
      <c r="H696" s="21"/>
      <c r="I696" s="20"/>
      <c r="J696" s="20"/>
      <c r="K696" s="21"/>
      <c r="L696" s="21"/>
      <c r="M696" s="22" t="str">
        <f aca="false">IF($B696="","",$B696+2)</f>
        <v/>
      </c>
      <c r="N696" s="20"/>
      <c r="O696" s="22" t="str">
        <f aca="false">IF($B696="","",$B696+5)</f>
        <v/>
      </c>
      <c r="P696" s="20"/>
      <c r="Q696" s="22" t="str">
        <f aca="false">IF($B696="","",$B696+10)</f>
        <v/>
      </c>
      <c r="R696" s="20"/>
      <c r="S696" s="23" t="str">
        <f aca="true">IF($B696="","",IF(AND($N696="Y",$P696="Y",$R696="Y"),"Done",IF(OR(AND($M696&lt;=TODAY(),$N696&lt;&gt;"Y"),AND($O696&lt;=TODAY(),$P696&lt;&gt;"Y"),AND($Q696&lt;=TODAY(),$R696&lt;&gt;"Y")),"DUE","Scheduled")))</f>
        <v/>
      </c>
      <c r="T696" s="20"/>
      <c r="U696" s="23" t="str">
        <f aca="false">IF($B696="","",IF(OR($T696&lt;=2,$I696="Editorial"),"REDO",""))</f>
        <v/>
      </c>
      <c r="V696" s="18" t="str">
        <f aca="false">IF($S696&lt;&gt;"DUE","",COUNTIF($S$3:$S696,"DUE"))</f>
        <v/>
      </c>
    </row>
    <row r="697" customFormat="false" ht="15" hidden="false" customHeight="false" outlineLevel="0" collapsed="false">
      <c r="A697" s="12" t="str">
        <f aca="false">IF($F697="","",ROW()-2)</f>
        <v/>
      </c>
      <c r="B697" s="19"/>
      <c r="C697" s="20"/>
      <c r="D697" s="21"/>
      <c r="E697" s="21"/>
      <c r="F697" s="21"/>
      <c r="G697" s="20"/>
      <c r="H697" s="21"/>
      <c r="I697" s="20"/>
      <c r="J697" s="20"/>
      <c r="K697" s="21"/>
      <c r="L697" s="21"/>
      <c r="M697" s="22" t="str">
        <f aca="false">IF($B697="","",$B697+2)</f>
        <v/>
      </c>
      <c r="N697" s="20"/>
      <c r="O697" s="22" t="str">
        <f aca="false">IF($B697="","",$B697+5)</f>
        <v/>
      </c>
      <c r="P697" s="20"/>
      <c r="Q697" s="22" t="str">
        <f aca="false">IF($B697="","",$B697+10)</f>
        <v/>
      </c>
      <c r="R697" s="20"/>
      <c r="S697" s="23" t="str">
        <f aca="true">IF($B697="","",IF(AND($N697="Y",$P697="Y",$R697="Y"),"Done",IF(OR(AND($M697&lt;=TODAY(),$N697&lt;&gt;"Y"),AND($O697&lt;=TODAY(),$P697&lt;&gt;"Y"),AND($Q697&lt;=TODAY(),$R697&lt;&gt;"Y")),"DUE","Scheduled")))</f>
        <v/>
      </c>
      <c r="T697" s="20"/>
      <c r="U697" s="23" t="str">
        <f aca="false">IF($B697="","",IF(OR($T697&lt;=2,$I697="Editorial"),"REDO",""))</f>
        <v/>
      </c>
      <c r="V697" s="18" t="str">
        <f aca="false">IF($S697&lt;&gt;"DUE","",COUNTIF($S$3:$S697,"DUE"))</f>
        <v/>
      </c>
    </row>
    <row r="698" customFormat="false" ht="15" hidden="false" customHeight="false" outlineLevel="0" collapsed="false">
      <c r="A698" s="12" t="str">
        <f aca="false">IF($F698="","",ROW()-2)</f>
        <v/>
      </c>
      <c r="B698" s="19"/>
      <c r="C698" s="20"/>
      <c r="D698" s="21"/>
      <c r="E698" s="21"/>
      <c r="F698" s="21"/>
      <c r="G698" s="20"/>
      <c r="H698" s="21"/>
      <c r="I698" s="20"/>
      <c r="J698" s="20"/>
      <c r="K698" s="21"/>
      <c r="L698" s="21"/>
      <c r="M698" s="22" t="str">
        <f aca="false">IF($B698="","",$B698+2)</f>
        <v/>
      </c>
      <c r="N698" s="20"/>
      <c r="O698" s="22" t="str">
        <f aca="false">IF($B698="","",$B698+5)</f>
        <v/>
      </c>
      <c r="P698" s="20"/>
      <c r="Q698" s="22" t="str">
        <f aca="false">IF($B698="","",$B698+10)</f>
        <v/>
      </c>
      <c r="R698" s="20"/>
      <c r="S698" s="23" t="str">
        <f aca="true">IF($B698="","",IF(AND($N698="Y",$P698="Y",$R698="Y"),"Done",IF(OR(AND($M698&lt;=TODAY(),$N698&lt;&gt;"Y"),AND($O698&lt;=TODAY(),$P698&lt;&gt;"Y"),AND($Q698&lt;=TODAY(),$R698&lt;&gt;"Y")),"DUE","Scheduled")))</f>
        <v/>
      </c>
      <c r="T698" s="20"/>
      <c r="U698" s="23" t="str">
        <f aca="false">IF($B698="","",IF(OR($T698&lt;=2,$I698="Editorial"),"REDO",""))</f>
        <v/>
      </c>
      <c r="V698" s="18" t="str">
        <f aca="false">IF($S698&lt;&gt;"DUE","",COUNTIF($S$3:$S698,"DUE"))</f>
        <v/>
      </c>
    </row>
    <row r="699" customFormat="false" ht="15" hidden="false" customHeight="false" outlineLevel="0" collapsed="false">
      <c r="A699" s="12" t="str">
        <f aca="false">IF($F699="","",ROW()-2)</f>
        <v/>
      </c>
      <c r="B699" s="19"/>
      <c r="C699" s="20"/>
      <c r="D699" s="21"/>
      <c r="E699" s="21"/>
      <c r="F699" s="21"/>
      <c r="G699" s="20"/>
      <c r="H699" s="21"/>
      <c r="I699" s="20"/>
      <c r="J699" s="20"/>
      <c r="K699" s="21"/>
      <c r="L699" s="21"/>
      <c r="M699" s="22" t="str">
        <f aca="false">IF($B699="","",$B699+2)</f>
        <v/>
      </c>
      <c r="N699" s="20"/>
      <c r="O699" s="22" t="str">
        <f aca="false">IF($B699="","",$B699+5)</f>
        <v/>
      </c>
      <c r="P699" s="20"/>
      <c r="Q699" s="22" t="str">
        <f aca="false">IF($B699="","",$B699+10)</f>
        <v/>
      </c>
      <c r="R699" s="20"/>
      <c r="S699" s="23" t="str">
        <f aca="true">IF($B699="","",IF(AND($N699="Y",$P699="Y",$R699="Y"),"Done",IF(OR(AND($M699&lt;=TODAY(),$N699&lt;&gt;"Y"),AND($O699&lt;=TODAY(),$P699&lt;&gt;"Y"),AND($Q699&lt;=TODAY(),$R699&lt;&gt;"Y")),"DUE","Scheduled")))</f>
        <v/>
      </c>
      <c r="T699" s="20"/>
      <c r="U699" s="23" t="str">
        <f aca="false">IF($B699="","",IF(OR($T699&lt;=2,$I699="Editorial"),"REDO",""))</f>
        <v/>
      </c>
      <c r="V699" s="18" t="str">
        <f aca="false">IF($S699&lt;&gt;"DUE","",COUNTIF($S$3:$S699,"DUE"))</f>
        <v/>
      </c>
    </row>
    <row r="700" customFormat="false" ht="15" hidden="false" customHeight="false" outlineLevel="0" collapsed="false">
      <c r="A700" s="12" t="str">
        <f aca="false">IF($F700="","",ROW()-2)</f>
        <v/>
      </c>
      <c r="B700" s="19"/>
      <c r="C700" s="20"/>
      <c r="D700" s="21"/>
      <c r="E700" s="21"/>
      <c r="F700" s="21"/>
      <c r="G700" s="20"/>
      <c r="H700" s="21"/>
      <c r="I700" s="20"/>
      <c r="J700" s="20"/>
      <c r="K700" s="21"/>
      <c r="L700" s="21"/>
      <c r="M700" s="22" t="str">
        <f aca="false">IF($B700="","",$B700+2)</f>
        <v/>
      </c>
      <c r="N700" s="20"/>
      <c r="O700" s="22" t="str">
        <f aca="false">IF($B700="","",$B700+5)</f>
        <v/>
      </c>
      <c r="P700" s="20"/>
      <c r="Q700" s="22" t="str">
        <f aca="false">IF($B700="","",$B700+10)</f>
        <v/>
      </c>
      <c r="R700" s="20"/>
      <c r="S700" s="23" t="str">
        <f aca="true">IF($B700="","",IF(AND($N700="Y",$P700="Y",$R700="Y"),"Done",IF(OR(AND($M700&lt;=TODAY(),$N700&lt;&gt;"Y"),AND($O700&lt;=TODAY(),$P700&lt;&gt;"Y"),AND($Q700&lt;=TODAY(),$R700&lt;&gt;"Y")),"DUE","Scheduled")))</f>
        <v/>
      </c>
      <c r="T700" s="20"/>
      <c r="U700" s="23" t="str">
        <f aca="false">IF($B700="","",IF(OR($T700&lt;=2,$I700="Editorial"),"REDO",""))</f>
        <v/>
      </c>
      <c r="V700" s="18" t="str">
        <f aca="false">IF($S700&lt;&gt;"DUE","",COUNTIF($S$3:$S700,"DUE"))</f>
        <v/>
      </c>
    </row>
    <row r="701" customFormat="false" ht="15" hidden="false" customHeight="false" outlineLevel="0" collapsed="false">
      <c r="A701" s="12" t="str">
        <f aca="false">IF($F701="","",ROW()-2)</f>
        <v/>
      </c>
      <c r="B701" s="19"/>
      <c r="C701" s="20"/>
      <c r="D701" s="21"/>
      <c r="E701" s="21"/>
      <c r="F701" s="21"/>
      <c r="G701" s="20"/>
      <c r="H701" s="21"/>
      <c r="I701" s="20"/>
      <c r="J701" s="20"/>
      <c r="K701" s="21"/>
      <c r="L701" s="21"/>
      <c r="M701" s="22" t="str">
        <f aca="false">IF($B701="","",$B701+2)</f>
        <v/>
      </c>
      <c r="N701" s="20"/>
      <c r="O701" s="22" t="str">
        <f aca="false">IF($B701="","",$B701+5)</f>
        <v/>
      </c>
      <c r="P701" s="20"/>
      <c r="Q701" s="22" t="str">
        <f aca="false">IF($B701="","",$B701+10)</f>
        <v/>
      </c>
      <c r="R701" s="20"/>
      <c r="S701" s="23" t="str">
        <f aca="true">IF($B701="","",IF(AND($N701="Y",$P701="Y",$R701="Y"),"Done",IF(OR(AND($M701&lt;=TODAY(),$N701&lt;&gt;"Y"),AND($O701&lt;=TODAY(),$P701&lt;&gt;"Y"),AND($Q701&lt;=TODAY(),$R701&lt;&gt;"Y")),"DUE","Scheduled")))</f>
        <v/>
      </c>
      <c r="T701" s="20"/>
      <c r="U701" s="23" t="str">
        <f aca="false">IF($B701="","",IF(OR($T701&lt;=2,$I701="Editorial"),"REDO",""))</f>
        <v/>
      </c>
      <c r="V701" s="18" t="str">
        <f aca="false">IF($S701&lt;&gt;"DUE","",COUNTIF($S$3:$S701,"DUE"))</f>
        <v/>
      </c>
    </row>
    <row r="702" customFormat="false" ht="15" hidden="false" customHeight="false" outlineLevel="0" collapsed="false">
      <c r="A702" s="12" t="str">
        <f aca="false">IF($F702="","",ROW()-2)</f>
        <v/>
      </c>
      <c r="B702" s="19"/>
      <c r="C702" s="20"/>
      <c r="D702" s="21"/>
      <c r="E702" s="21"/>
      <c r="F702" s="21"/>
      <c r="G702" s="20"/>
      <c r="H702" s="21"/>
      <c r="I702" s="20"/>
      <c r="J702" s="20"/>
      <c r="K702" s="21"/>
      <c r="L702" s="21"/>
      <c r="M702" s="22" t="str">
        <f aca="false">IF($B702="","",$B702+2)</f>
        <v/>
      </c>
      <c r="N702" s="20"/>
      <c r="O702" s="22" t="str">
        <f aca="false">IF($B702="","",$B702+5)</f>
        <v/>
      </c>
      <c r="P702" s="20"/>
      <c r="Q702" s="22" t="str">
        <f aca="false">IF($B702="","",$B702+10)</f>
        <v/>
      </c>
      <c r="R702" s="20"/>
      <c r="S702" s="23" t="str">
        <f aca="true">IF($B702="","",IF(AND($N702="Y",$P702="Y",$R702="Y"),"Done",IF(OR(AND($M702&lt;=TODAY(),$N702&lt;&gt;"Y"),AND($O702&lt;=TODAY(),$P702&lt;&gt;"Y"),AND($Q702&lt;=TODAY(),$R702&lt;&gt;"Y")),"DUE","Scheduled")))</f>
        <v/>
      </c>
      <c r="T702" s="20"/>
      <c r="U702" s="23" t="str">
        <f aca="false">IF($B702="","",IF(OR($T702&lt;=2,$I702="Editorial"),"REDO",""))</f>
        <v/>
      </c>
      <c r="V702" s="18" t="str">
        <f aca="false">IF($S702&lt;&gt;"DUE","",COUNTIF($S$3:$S702,"DUE"))</f>
        <v/>
      </c>
    </row>
    <row r="703" customFormat="false" ht="15" hidden="false" customHeight="false" outlineLevel="0" collapsed="false">
      <c r="A703" s="12" t="str">
        <f aca="false">IF($F703="","",ROW()-2)</f>
        <v/>
      </c>
      <c r="B703" s="19"/>
      <c r="C703" s="20"/>
      <c r="D703" s="21"/>
      <c r="E703" s="21"/>
      <c r="F703" s="21"/>
      <c r="G703" s="20"/>
      <c r="H703" s="21"/>
      <c r="I703" s="20"/>
      <c r="J703" s="20"/>
      <c r="K703" s="21"/>
      <c r="L703" s="21"/>
      <c r="M703" s="22" t="str">
        <f aca="false">IF($B703="","",$B703+2)</f>
        <v/>
      </c>
      <c r="N703" s="20"/>
      <c r="O703" s="22" t="str">
        <f aca="false">IF($B703="","",$B703+5)</f>
        <v/>
      </c>
      <c r="P703" s="20"/>
      <c r="Q703" s="22" t="str">
        <f aca="false">IF($B703="","",$B703+10)</f>
        <v/>
      </c>
      <c r="R703" s="20"/>
      <c r="S703" s="23" t="str">
        <f aca="true">IF($B703="","",IF(AND($N703="Y",$P703="Y",$R703="Y"),"Done",IF(OR(AND($M703&lt;=TODAY(),$N703&lt;&gt;"Y"),AND($O703&lt;=TODAY(),$P703&lt;&gt;"Y"),AND($Q703&lt;=TODAY(),$R703&lt;&gt;"Y")),"DUE","Scheduled")))</f>
        <v/>
      </c>
      <c r="T703" s="20"/>
      <c r="U703" s="23" t="str">
        <f aca="false">IF($B703="","",IF(OR($T703&lt;=2,$I703="Editorial"),"REDO",""))</f>
        <v/>
      </c>
      <c r="V703" s="18" t="str">
        <f aca="false">IF($S703&lt;&gt;"DUE","",COUNTIF($S$3:$S703,"DUE"))</f>
        <v/>
      </c>
    </row>
    <row r="704" customFormat="false" ht="15" hidden="false" customHeight="false" outlineLevel="0" collapsed="false">
      <c r="A704" s="12" t="str">
        <f aca="false">IF($F704="","",ROW()-2)</f>
        <v/>
      </c>
      <c r="B704" s="19"/>
      <c r="C704" s="20"/>
      <c r="D704" s="21"/>
      <c r="E704" s="21"/>
      <c r="F704" s="21"/>
      <c r="G704" s="20"/>
      <c r="H704" s="21"/>
      <c r="I704" s="20"/>
      <c r="J704" s="20"/>
      <c r="K704" s="21"/>
      <c r="L704" s="21"/>
      <c r="M704" s="22" t="str">
        <f aca="false">IF($B704="","",$B704+2)</f>
        <v/>
      </c>
      <c r="N704" s="20"/>
      <c r="O704" s="22" t="str">
        <f aca="false">IF($B704="","",$B704+5)</f>
        <v/>
      </c>
      <c r="P704" s="20"/>
      <c r="Q704" s="22" t="str">
        <f aca="false">IF($B704="","",$B704+10)</f>
        <v/>
      </c>
      <c r="R704" s="20"/>
      <c r="S704" s="23" t="str">
        <f aca="true">IF($B704="","",IF(AND($N704="Y",$P704="Y",$R704="Y"),"Done",IF(OR(AND($M704&lt;=TODAY(),$N704&lt;&gt;"Y"),AND($O704&lt;=TODAY(),$P704&lt;&gt;"Y"),AND($Q704&lt;=TODAY(),$R704&lt;&gt;"Y")),"DUE","Scheduled")))</f>
        <v/>
      </c>
      <c r="T704" s="20"/>
      <c r="U704" s="23" t="str">
        <f aca="false">IF($B704="","",IF(OR($T704&lt;=2,$I704="Editorial"),"REDO",""))</f>
        <v/>
      </c>
      <c r="V704" s="18" t="str">
        <f aca="false">IF($S704&lt;&gt;"DUE","",COUNTIF($S$3:$S704,"DUE"))</f>
        <v/>
      </c>
    </row>
    <row r="705" customFormat="false" ht="15" hidden="false" customHeight="false" outlineLevel="0" collapsed="false">
      <c r="A705" s="12" t="str">
        <f aca="false">IF($F705="","",ROW()-2)</f>
        <v/>
      </c>
      <c r="B705" s="19"/>
      <c r="C705" s="20"/>
      <c r="D705" s="21"/>
      <c r="E705" s="21"/>
      <c r="F705" s="21"/>
      <c r="G705" s="20"/>
      <c r="H705" s="21"/>
      <c r="I705" s="20"/>
      <c r="J705" s="20"/>
      <c r="K705" s="21"/>
      <c r="L705" s="21"/>
      <c r="M705" s="22" t="str">
        <f aca="false">IF($B705="","",$B705+2)</f>
        <v/>
      </c>
      <c r="N705" s="20"/>
      <c r="O705" s="22" t="str">
        <f aca="false">IF($B705="","",$B705+5)</f>
        <v/>
      </c>
      <c r="P705" s="20"/>
      <c r="Q705" s="22" t="str">
        <f aca="false">IF($B705="","",$B705+10)</f>
        <v/>
      </c>
      <c r="R705" s="20"/>
      <c r="S705" s="23" t="str">
        <f aca="true">IF($B705="","",IF(AND($N705="Y",$P705="Y",$R705="Y"),"Done",IF(OR(AND($M705&lt;=TODAY(),$N705&lt;&gt;"Y"),AND($O705&lt;=TODAY(),$P705&lt;&gt;"Y"),AND($Q705&lt;=TODAY(),$R705&lt;&gt;"Y")),"DUE","Scheduled")))</f>
        <v/>
      </c>
      <c r="T705" s="20"/>
      <c r="U705" s="23" t="str">
        <f aca="false">IF($B705="","",IF(OR($T705&lt;=2,$I705="Editorial"),"REDO",""))</f>
        <v/>
      </c>
      <c r="V705" s="18" t="str">
        <f aca="false">IF($S705&lt;&gt;"DUE","",COUNTIF($S$3:$S705,"DUE"))</f>
        <v/>
      </c>
    </row>
    <row r="706" customFormat="false" ht="15" hidden="false" customHeight="false" outlineLevel="0" collapsed="false">
      <c r="A706" s="12" t="str">
        <f aca="false">IF($F706="","",ROW()-2)</f>
        <v/>
      </c>
      <c r="B706" s="19"/>
      <c r="C706" s="20"/>
      <c r="D706" s="21"/>
      <c r="E706" s="21"/>
      <c r="F706" s="21"/>
      <c r="G706" s="20"/>
      <c r="H706" s="21"/>
      <c r="I706" s="20"/>
      <c r="J706" s="20"/>
      <c r="K706" s="21"/>
      <c r="L706" s="21"/>
      <c r="M706" s="22" t="str">
        <f aca="false">IF($B706="","",$B706+2)</f>
        <v/>
      </c>
      <c r="N706" s="20"/>
      <c r="O706" s="22" t="str">
        <f aca="false">IF($B706="","",$B706+5)</f>
        <v/>
      </c>
      <c r="P706" s="20"/>
      <c r="Q706" s="22" t="str">
        <f aca="false">IF($B706="","",$B706+10)</f>
        <v/>
      </c>
      <c r="R706" s="20"/>
      <c r="S706" s="23" t="str">
        <f aca="true">IF($B706="","",IF(AND($N706="Y",$P706="Y",$R706="Y"),"Done",IF(OR(AND($M706&lt;=TODAY(),$N706&lt;&gt;"Y"),AND($O706&lt;=TODAY(),$P706&lt;&gt;"Y"),AND($Q706&lt;=TODAY(),$R706&lt;&gt;"Y")),"DUE","Scheduled")))</f>
        <v/>
      </c>
      <c r="T706" s="20"/>
      <c r="U706" s="23" t="str">
        <f aca="false">IF($B706="","",IF(OR($T706&lt;=2,$I706="Editorial"),"REDO",""))</f>
        <v/>
      </c>
      <c r="V706" s="18" t="str">
        <f aca="false">IF($S706&lt;&gt;"DUE","",COUNTIF($S$3:$S706,"DUE"))</f>
        <v/>
      </c>
    </row>
    <row r="707" customFormat="false" ht="15" hidden="false" customHeight="false" outlineLevel="0" collapsed="false">
      <c r="A707" s="12" t="str">
        <f aca="false">IF($F707="","",ROW()-2)</f>
        <v/>
      </c>
      <c r="B707" s="19"/>
      <c r="C707" s="20"/>
      <c r="D707" s="21"/>
      <c r="E707" s="21"/>
      <c r="F707" s="21"/>
      <c r="G707" s="20"/>
      <c r="H707" s="21"/>
      <c r="I707" s="20"/>
      <c r="J707" s="20"/>
      <c r="K707" s="21"/>
      <c r="L707" s="21"/>
      <c r="M707" s="22" t="str">
        <f aca="false">IF($B707="","",$B707+2)</f>
        <v/>
      </c>
      <c r="N707" s="20"/>
      <c r="O707" s="22" t="str">
        <f aca="false">IF($B707="","",$B707+5)</f>
        <v/>
      </c>
      <c r="P707" s="20"/>
      <c r="Q707" s="22" t="str">
        <f aca="false">IF($B707="","",$B707+10)</f>
        <v/>
      </c>
      <c r="R707" s="20"/>
      <c r="S707" s="23" t="str">
        <f aca="true">IF($B707="","",IF(AND($N707="Y",$P707="Y",$R707="Y"),"Done",IF(OR(AND($M707&lt;=TODAY(),$N707&lt;&gt;"Y"),AND($O707&lt;=TODAY(),$P707&lt;&gt;"Y"),AND($Q707&lt;=TODAY(),$R707&lt;&gt;"Y")),"DUE","Scheduled")))</f>
        <v/>
      </c>
      <c r="T707" s="20"/>
      <c r="U707" s="23" t="str">
        <f aca="false">IF($B707="","",IF(OR($T707&lt;=2,$I707="Editorial"),"REDO",""))</f>
        <v/>
      </c>
      <c r="V707" s="18" t="str">
        <f aca="false">IF($S707&lt;&gt;"DUE","",COUNTIF($S$3:$S707,"DUE"))</f>
        <v/>
      </c>
    </row>
    <row r="708" customFormat="false" ht="15" hidden="false" customHeight="false" outlineLevel="0" collapsed="false">
      <c r="A708" s="12" t="str">
        <f aca="false">IF($F708="","",ROW()-2)</f>
        <v/>
      </c>
      <c r="B708" s="19"/>
      <c r="C708" s="20"/>
      <c r="D708" s="21"/>
      <c r="E708" s="21"/>
      <c r="F708" s="21"/>
      <c r="G708" s="20"/>
      <c r="H708" s="21"/>
      <c r="I708" s="20"/>
      <c r="J708" s="20"/>
      <c r="K708" s="21"/>
      <c r="L708" s="21"/>
      <c r="M708" s="22" t="str">
        <f aca="false">IF($B708="","",$B708+2)</f>
        <v/>
      </c>
      <c r="N708" s="20"/>
      <c r="O708" s="22" t="str">
        <f aca="false">IF($B708="","",$B708+5)</f>
        <v/>
      </c>
      <c r="P708" s="20"/>
      <c r="Q708" s="22" t="str">
        <f aca="false">IF($B708="","",$B708+10)</f>
        <v/>
      </c>
      <c r="R708" s="20"/>
      <c r="S708" s="23" t="str">
        <f aca="true">IF($B708="","",IF(AND($N708="Y",$P708="Y",$R708="Y"),"Done",IF(OR(AND($M708&lt;=TODAY(),$N708&lt;&gt;"Y"),AND($O708&lt;=TODAY(),$P708&lt;&gt;"Y"),AND($Q708&lt;=TODAY(),$R708&lt;&gt;"Y")),"DUE","Scheduled")))</f>
        <v/>
      </c>
      <c r="T708" s="20"/>
      <c r="U708" s="23" t="str">
        <f aca="false">IF($B708="","",IF(OR($T708&lt;=2,$I708="Editorial"),"REDO",""))</f>
        <v/>
      </c>
      <c r="V708" s="18" t="str">
        <f aca="false">IF($S708&lt;&gt;"DUE","",COUNTIF($S$3:$S708,"DUE"))</f>
        <v/>
      </c>
    </row>
    <row r="709" customFormat="false" ht="15" hidden="false" customHeight="false" outlineLevel="0" collapsed="false">
      <c r="A709" s="12" t="str">
        <f aca="false">IF($F709="","",ROW()-2)</f>
        <v/>
      </c>
      <c r="B709" s="19"/>
      <c r="C709" s="20"/>
      <c r="D709" s="21"/>
      <c r="E709" s="21"/>
      <c r="F709" s="21"/>
      <c r="G709" s="20"/>
      <c r="H709" s="21"/>
      <c r="I709" s="20"/>
      <c r="J709" s="20"/>
      <c r="K709" s="21"/>
      <c r="L709" s="21"/>
      <c r="M709" s="22" t="str">
        <f aca="false">IF($B709="","",$B709+2)</f>
        <v/>
      </c>
      <c r="N709" s="20"/>
      <c r="O709" s="22" t="str">
        <f aca="false">IF($B709="","",$B709+5)</f>
        <v/>
      </c>
      <c r="P709" s="20"/>
      <c r="Q709" s="22" t="str">
        <f aca="false">IF($B709="","",$B709+10)</f>
        <v/>
      </c>
      <c r="R709" s="20"/>
      <c r="S709" s="23" t="str">
        <f aca="true">IF($B709="","",IF(AND($N709="Y",$P709="Y",$R709="Y"),"Done",IF(OR(AND($M709&lt;=TODAY(),$N709&lt;&gt;"Y"),AND($O709&lt;=TODAY(),$P709&lt;&gt;"Y"),AND($Q709&lt;=TODAY(),$R709&lt;&gt;"Y")),"DUE","Scheduled")))</f>
        <v/>
      </c>
      <c r="T709" s="20"/>
      <c r="U709" s="23" t="str">
        <f aca="false">IF($B709="","",IF(OR($T709&lt;=2,$I709="Editorial"),"REDO",""))</f>
        <v/>
      </c>
      <c r="V709" s="18" t="str">
        <f aca="false">IF($S709&lt;&gt;"DUE","",COUNTIF($S$3:$S709,"DUE"))</f>
        <v/>
      </c>
    </row>
    <row r="710" customFormat="false" ht="15" hidden="false" customHeight="false" outlineLevel="0" collapsed="false">
      <c r="A710" s="12" t="str">
        <f aca="false">IF($F710="","",ROW()-2)</f>
        <v/>
      </c>
      <c r="B710" s="19"/>
      <c r="C710" s="20"/>
      <c r="D710" s="21"/>
      <c r="E710" s="21"/>
      <c r="F710" s="21"/>
      <c r="G710" s="20"/>
      <c r="H710" s="21"/>
      <c r="I710" s="20"/>
      <c r="J710" s="20"/>
      <c r="K710" s="21"/>
      <c r="L710" s="21"/>
      <c r="M710" s="22" t="str">
        <f aca="false">IF($B710="","",$B710+2)</f>
        <v/>
      </c>
      <c r="N710" s="20"/>
      <c r="O710" s="22" t="str">
        <f aca="false">IF($B710="","",$B710+5)</f>
        <v/>
      </c>
      <c r="P710" s="20"/>
      <c r="Q710" s="22" t="str">
        <f aca="false">IF($B710="","",$B710+10)</f>
        <v/>
      </c>
      <c r="R710" s="20"/>
      <c r="S710" s="23" t="str">
        <f aca="true">IF($B710="","",IF(AND($N710="Y",$P710="Y",$R710="Y"),"Done",IF(OR(AND($M710&lt;=TODAY(),$N710&lt;&gt;"Y"),AND($O710&lt;=TODAY(),$P710&lt;&gt;"Y"),AND($Q710&lt;=TODAY(),$R710&lt;&gt;"Y")),"DUE","Scheduled")))</f>
        <v/>
      </c>
      <c r="T710" s="20"/>
      <c r="U710" s="23" t="str">
        <f aca="false">IF($B710="","",IF(OR($T710&lt;=2,$I710="Editorial"),"REDO",""))</f>
        <v/>
      </c>
      <c r="V710" s="18" t="str">
        <f aca="false">IF($S710&lt;&gt;"DUE","",COUNTIF($S$3:$S710,"DUE"))</f>
        <v/>
      </c>
    </row>
    <row r="711" customFormat="false" ht="15" hidden="false" customHeight="false" outlineLevel="0" collapsed="false">
      <c r="A711" s="12" t="str">
        <f aca="false">IF($F711="","",ROW()-2)</f>
        <v/>
      </c>
      <c r="B711" s="19"/>
      <c r="C711" s="20"/>
      <c r="D711" s="21"/>
      <c r="E711" s="21"/>
      <c r="F711" s="21"/>
      <c r="G711" s="20"/>
      <c r="H711" s="21"/>
      <c r="I711" s="20"/>
      <c r="J711" s="20"/>
      <c r="K711" s="21"/>
      <c r="L711" s="21"/>
      <c r="M711" s="22" t="str">
        <f aca="false">IF($B711="","",$B711+2)</f>
        <v/>
      </c>
      <c r="N711" s="20"/>
      <c r="O711" s="22" t="str">
        <f aca="false">IF($B711="","",$B711+5)</f>
        <v/>
      </c>
      <c r="P711" s="20"/>
      <c r="Q711" s="22" t="str">
        <f aca="false">IF($B711="","",$B711+10)</f>
        <v/>
      </c>
      <c r="R711" s="20"/>
      <c r="S711" s="23" t="str">
        <f aca="true">IF($B711="","",IF(AND($N711="Y",$P711="Y",$R711="Y"),"Done",IF(OR(AND($M711&lt;=TODAY(),$N711&lt;&gt;"Y"),AND($O711&lt;=TODAY(),$P711&lt;&gt;"Y"),AND($Q711&lt;=TODAY(),$R711&lt;&gt;"Y")),"DUE","Scheduled")))</f>
        <v/>
      </c>
      <c r="T711" s="20"/>
      <c r="U711" s="23" t="str">
        <f aca="false">IF($B711="","",IF(OR($T711&lt;=2,$I711="Editorial"),"REDO",""))</f>
        <v/>
      </c>
      <c r="V711" s="18" t="str">
        <f aca="false">IF($S711&lt;&gt;"DUE","",COUNTIF($S$3:$S711,"DUE"))</f>
        <v/>
      </c>
    </row>
    <row r="712" customFormat="false" ht="15" hidden="false" customHeight="false" outlineLevel="0" collapsed="false">
      <c r="A712" s="12" t="str">
        <f aca="false">IF($F712="","",ROW()-2)</f>
        <v/>
      </c>
      <c r="B712" s="19"/>
      <c r="C712" s="20"/>
      <c r="D712" s="21"/>
      <c r="E712" s="21"/>
      <c r="F712" s="21"/>
      <c r="G712" s="20"/>
      <c r="H712" s="21"/>
      <c r="I712" s="20"/>
      <c r="J712" s="20"/>
      <c r="K712" s="21"/>
      <c r="L712" s="21"/>
      <c r="M712" s="22" t="str">
        <f aca="false">IF($B712="","",$B712+2)</f>
        <v/>
      </c>
      <c r="N712" s="20"/>
      <c r="O712" s="22" t="str">
        <f aca="false">IF($B712="","",$B712+5)</f>
        <v/>
      </c>
      <c r="P712" s="20"/>
      <c r="Q712" s="22" t="str">
        <f aca="false">IF($B712="","",$B712+10)</f>
        <v/>
      </c>
      <c r="R712" s="20"/>
      <c r="S712" s="23" t="str">
        <f aca="true">IF($B712="","",IF(AND($N712="Y",$P712="Y",$R712="Y"),"Done",IF(OR(AND($M712&lt;=TODAY(),$N712&lt;&gt;"Y"),AND($O712&lt;=TODAY(),$P712&lt;&gt;"Y"),AND($Q712&lt;=TODAY(),$R712&lt;&gt;"Y")),"DUE","Scheduled")))</f>
        <v/>
      </c>
      <c r="T712" s="20"/>
      <c r="U712" s="23" t="str">
        <f aca="false">IF($B712="","",IF(OR($T712&lt;=2,$I712="Editorial"),"REDO",""))</f>
        <v/>
      </c>
      <c r="V712" s="18" t="str">
        <f aca="false">IF($S712&lt;&gt;"DUE","",COUNTIF($S$3:$S712,"DUE"))</f>
        <v/>
      </c>
    </row>
    <row r="713" customFormat="false" ht="15" hidden="false" customHeight="false" outlineLevel="0" collapsed="false">
      <c r="A713" s="12" t="str">
        <f aca="false">IF($F713="","",ROW()-2)</f>
        <v/>
      </c>
      <c r="B713" s="19"/>
      <c r="C713" s="20"/>
      <c r="D713" s="21"/>
      <c r="E713" s="21"/>
      <c r="F713" s="21"/>
      <c r="G713" s="20"/>
      <c r="H713" s="21"/>
      <c r="I713" s="20"/>
      <c r="J713" s="20"/>
      <c r="K713" s="21"/>
      <c r="L713" s="21"/>
      <c r="M713" s="22" t="str">
        <f aca="false">IF($B713="","",$B713+2)</f>
        <v/>
      </c>
      <c r="N713" s="20"/>
      <c r="O713" s="22" t="str">
        <f aca="false">IF($B713="","",$B713+5)</f>
        <v/>
      </c>
      <c r="P713" s="20"/>
      <c r="Q713" s="22" t="str">
        <f aca="false">IF($B713="","",$B713+10)</f>
        <v/>
      </c>
      <c r="R713" s="20"/>
      <c r="S713" s="23" t="str">
        <f aca="true">IF($B713="","",IF(AND($N713="Y",$P713="Y",$R713="Y"),"Done",IF(OR(AND($M713&lt;=TODAY(),$N713&lt;&gt;"Y"),AND($O713&lt;=TODAY(),$P713&lt;&gt;"Y"),AND($Q713&lt;=TODAY(),$R713&lt;&gt;"Y")),"DUE","Scheduled")))</f>
        <v/>
      </c>
      <c r="T713" s="20"/>
      <c r="U713" s="23" t="str">
        <f aca="false">IF($B713="","",IF(OR($T713&lt;=2,$I713="Editorial"),"REDO",""))</f>
        <v/>
      </c>
      <c r="V713" s="18" t="str">
        <f aca="false">IF($S713&lt;&gt;"DUE","",COUNTIF($S$3:$S713,"DUE"))</f>
        <v/>
      </c>
    </row>
    <row r="714" customFormat="false" ht="15" hidden="false" customHeight="false" outlineLevel="0" collapsed="false">
      <c r="A714" s="12" t="str">
        <f aca="false">IF($F714="","",ROW()-2)</f>
        <v/>
      </c>
      <c r="B714" s="19"/>
      <c r="C714" s="20"/>
      <c r="D714" s="21"/>
      <c r="E714" s="21"/>
      <c r="F714" s="21"/>
      <c r="G714" s="20"/>
      <c r="H714" s="21"/>
      <c r="I714" s="20"/>
      <c r="J714" s="20"/>
      <c r="K714" s="21"/>
      <c r="L714" s="21"/>
      <c r="M714" s="22" t="str">
        <f aca="false">IF($B714="","",$B714+2)</f>
        <v/>
      </c>
      <c r="N714" s="20"/>
      <c r="O714" s="22" t="str">
        <f aca="false">IF($B714="","",$B714+5)</f>
        <v/>
      </c>
      <c r="P714" s="20"/>
      <c r="Q714" s="22" t="str">
        <f aca="false">IF($B714="","",$B714+10)</f>
        <v/>
      </c>
      <c r="R714" s="20"/>
      <c r="S714" s="23" t="str">
        <f aca="true">IF($B714="","",IF(AND($N714="Y",$P714="Y",$R714="Y"),"Done",IF(OR(AND($M714&lt;=TODAY(),$N714&lt;&gt;"Y"),AND($O714&lt;=TODAY(),$P714&lt;&gt;"Y"),AND($Q714&lt;=TODAY(),$R714&lt;&gt;"Y")),"DUE","Scheduled")))</f>
        <v/>
      </c>
      <c r="T714" s="20"/>
      <c r="U714" s="23" t="str">
        <f aca="false">IF($B714="","",IF(OR($T714&lt;=2,$I714="Editorial"),"REDO",""))</f>
        <v/>
      </c>
      <c r="V714" s="18" t="str">
        <f aca="false">IF($S714&lt;&gt;"DUE","",COUNTIF($S$3:$S714,"DUE"))</f>
        <v/>
      </c>
    </row>
    <row r="715" customFormat="false" ht="15" hidden="false" customHeight="false" outlineLevel="0" collapsed="false">
      <c r="A715" s="12" t="str">
        <f aca="false">IF($F715="","",ROW()-2)</f>
        <v/>
      </c>
      <c r="B715" s="19"/>
      <c r="C715" s="20"/>
      <c r="D715" s="21"/>
      <c r="E715" s="21"/>
      <c r="F715" s="21"/>
      <c r="G715" s="20"/>
      <c r="H715" s="21"/>
      <c r="I715" s="20"/>
      <c r="J715" s="20"/>
      <c r="K715" s="21"/>
      <c r="L715" s="21"/>
      <c r="M715" s="22" t="str">
        <f aca="false">IF($B715="","",$B715+2)</f>
        <v/>
      </c>
      <c r="N715" s="20"/>
      <c r="O715" s="22" t="str">
        <f aca="false">IF($B715="","",$B715+5)</f>
        <v/>
      </c>
      <c r="P715" s="20"/>
      <c r="Q715" s="22" t="str">
        <f aca="false">IF($B715="","",$B715+10)</f>
        <v/>
      </c>
      <c r="R715" s="20"/>
      <c r="S715" s="23" t="str">
        <f aca="true">IF($B715="","",IF(AND($N715="Y",$P715="Y",$R715="Y"),"Done",IF(OR(AND($M715&lt;=TODAY(),$N715&lt;&gt;"Y"),AND($O715&lt;=TODAY(),$P715&lt;&gt;"Y"),AND($Q715&lt;=TODAY(),$R715&lt;&gt;"Y")),"DUE","Scheduled")))</f>
        <v/>
      </c>
      <c r="T715" s="20"/>
      <c r="U715" s="23" t="str">
        <f aca="false">IF($B715="","",IF(OR($T715&lt;=2,$I715="Editorial"),"REDO",""))</f>
        <v/>
      </c>
      <c r="V715" s="18" t="str">
        <f aca="false">IF($S715&lt;&gt;"DUE","",COUNTIF($S$3:$S715,"DUE"))</f>
        <v/>
      </c>
    </row>
    <row r="716" customFormat="false" ht="15" hidden="false" customHeight="false" outlineLevel="0" collapsed="false">
      <c r="A716" s="12" t="str">
        <f aca="false">IF($F716="","",ROW()-2)</f>
        <v/>
      </c>
      <c r="B716" s="19"/>
      <c r="C716" s="20"/>
      <c r="D716" s="21"/>
      <c r="E716" s="21"/>
      <c r="F716" s="21"/>
      <c r="G716" s="20"/>
      <c r="H716" s="21"/>
      <c r="I716" s="20"/>
      <c r="J716" s="20"/>
      <c r="K716" s="21"/>
      <c r="L716" s="21"/>
      <c r="M716" s="22" t="str">
        <f aca="false">IF($B716="","",$B716+2)</f>
        <v/>
      </c>
      <c r="N716" s="20"/>
      <c r="O716" s="22" t="str">
        <f aca="false">IF($B716="","",$B716+5)</f>
        <v/>
      </c>
      <c r="P716" s="20"/>
      <c r="Q716" s="22" t="str">
        <f aca="false">IF($B716="","",$B716+10)</f>
        <v/>
      </c>
      <c r="R716" s="20"/>
      <c r="S716" s="23" t="str">
        <f aca="true">IF($B716="","",IF(AND($N716="Y",$P716="Y",$R716="Y"),"Done",IF(OR(AND($M716&lt;=TODAY(),$N716&lt;&gt;"Y"),AND($O716&lt;=TODAY(),$P716&lt;&gt;"Y"),AND($Q716&lt;=TODAY(),$R716&lt;&gt;"Y")),"DUE","Scheduled")))</f>
        <v/>
      </c>
      <c r="T716" s="20"/>
      <c r="U716" s="23" t="str">
        <f aca="false">IF($B716="","",IF(OR($T716&lt;=2,$I716="Editorial"),"REDO",""))</f>
        <v/>
      </c>
      <c r="V716" s="18" t="str">
        <f aca="false">IF($S716&lt;&gt;"DUE","",COUNTIF($S$3:$S716,"DUE"))</f>
        <v/>
      </c>
    </row>
    <row r="717" customFormat="false" ht="15" hidden="false" customHeight="false" outlineLevel="0" collapsed="false">
      <c r="A717" s="12" t="str">
        <f aca="false">IF($F717="","",ROW()-2)</f>
        <v/>
      </c>
      <c r="B717" s="19"/>
      <c r="C717" s="20"/>
      <c r="D717" s="21"/>
      <c r="E717" s="21"/>
      <c r="F717" s="21"/>
      <c r="G717" s="20"/>
      <c r="H717" s="21"/>
      <c r="I717" s="20"/>
      <c r="J717" s="20"/>
      <c r="K717" s="21"/>
      <c r="L717" s="21"/>
      <c r="M717" s="22" t="str">
        <f aca="false">IF($B717="","",$B717+2)</f>
        <v/>
      </c>
      <c r="N717" s="20"/>
      <c r="O717" s="22" t="str">
        <f aca="false">IF($B717="","",$B717+5)</f>
        <v/>
      </c>
      <c r="P717" s="20"/>
      <c r="Q717" s="22" t="str">
        <f aca="false">IF($B717="","",$B717+10)</f>
        <v/>
      </c>
      <c r="R717" s="20"/>
      <c r="S717" s="23" t="str">
        <f aca="true">IF($B717="","",IF(AND($N717="Y",$P717="Y",$R717="Y"),"Done",IF(OR(AND($M717&lt;=TODAY(),$N717&lt;&gt;"Y"),AND($O717&lt;=TODAY(),$P717&lt;&gt;"Y"),AND($Q717&lt;=TODAY(),$R717&lt;&gt;"Y")),"DUE","Scheduled")))</f>
        <v/>
      </c>
      <c r="T717" s="20"/>
      <c r="U717" s="23" t="str">
        <f aca="false">IF($B717="","",IF(OR($T717&lt;=2,$I717="Editorial"),"REDO",""))</f>
        <v/>
      </c>
      <c r="V717" s="18" t="str">
        <f aca="false">IF($S717&lt;&gt;"DUE","",COUNTIF($S$3:$S717,"DUE"))</f>
        <v/>
      </c>
    </row>
    <row r="718" customFormat="false" ht="15" hidden="false" customHeight="false" outlineLevel="0" collapsed="false">
      <c r="A718" s="12" t="str">
        <f aca="false">IF($F718="","",ROW()-2)</f>
        <v/>
      </c>
      <c r="B718" s="19"/>
      <c r="C718" s="20"/>
      <c r="D718" s="21"/>
      <c r="E718" s="21"/>
      <c r="F718" s="21"/>
      <c r="G718" s="20"/>
      <c r="H718" s="21"/>
      <c r="I718" s="20"/>
      <c r="J718" s="20"/>
      <c r="K718" s="21"/>
      <c r="L718" s="21"/>
      <c r="M718" s="22" t="str">
        <f aca="false">IF($B718="","",$B718+2)</f>
        <v/>
      </c>
      <c r="N718" s="20"/>
      <c r="O718" s="22" t="str">
        <f aca="false">IF($B718="","",$B718+5)</f>
        <v/>
      </c>
      <c r="P718" s="20"/>
      <c r="Q718" s="22" t="str">
        <f aca="false">IF($B718="","",$B718+10)</f>
        <v/>
      </c>
      <c r="R718" s="20"/>
      <c r="S718" s="23" t="str">
        <f aca="true">IF($B718="","",IF(AND($N718="Y",$P718="Y",$R718="Y"),"Done",IF(OR(AND($M718&lt;=TODAY(),$N718&lt;&gt;"Y"),AND($O718&lt;=TODAY(),$P718&lt;&gt;"Y"),AND($Q718&lt;=TODAY(),$R718&lt;&gt;"Y")),"DUE","Scheduled")))</f>
        <v/>
      </c>
      <c r="T718" s="20"/>
      <c r="U718" s="23" t="str">
        <f aca="false">IF($B718="","",IF(OR($T718&lt;=2,$I718="Editorial"),"REDO",""))</f>
        <v/>
      </c>
      <c r="V718" s="18" t="str">
        <f aca="false">IF($S718&lt;&gt;"DUE","",COUNTIF($S$3:$S718,"DUE"))</f>
        <v/>
      </c>
    </row>
    <row r="719" customFormat="false" ht="15" hidden="false" customHeight="false" outlineLevel="0" collapsed="false">
      <c r="A719" s="12" t="str">
        <f aca="false">IF($F719="","",ROW()-2)</f>
        <v/>
      </c>
      <c r="B719" s="19"/>
      <c r="C719" s="20"/>
      <c r="D719" s="21"/>
      <c r="E719" s="21"/>
      <c r="F719" s="21"/>
      <c r="G719" s="20"/>
      <c r="H719" s="21"/>
      <c r="I719" s="20"/>
      <c r="J719" s="20"/>
      <c r="K719" s="21"/>
      <c r="L719" s="21"/>
      <c r="M719" s="22" t="str">
        <f aca="false">IF($B719="","",$B719+2)</f>
        <v/>
      </c>
      <c r="N719" s="20"/>
      <c r="O719" s="22" t="str">
        <f aca="false">IF($B719="","",$B719+5)</f>
        <v/>
      </c>
      <c r="P719" s="20"/>
      <c r="Q719" s="22" t="str">
        <f aca="false">IF($B719="","",$B719+10)</f>
        <v/>
      </c>
      <c r="R719" s="20"/>
      <c r="S719" s="23" t="str">
        <f aca="true">IF($B719="","",IF(AND($N719="Y",$P719="Y",$R719="Y"),"Done",IF(OR(AND($M719&lt;=TODAY(),$N719&lt;&gt;"Y"),AND($O719&lt;=TODAY(),$P719&lt;&gt;"Y"),AND($Q719&lt;=TODAY(),$R719&lt;&gt;"Y")),"DUE","Scheduled")))</f>
        <v/>
      </c>
      <c r="T719" s="20"/>
      <c r="U719" s="23" t="str">
        <f aca="false">IF($B719="","",IF(OR($T719&lt;=2,$I719="Editorial"),"REDO",""))</f>
        <v/>
      </c>
      <c r="V719" s="18" t="str">
        <f aca="false">IF($S719&lt;&gt;"DUE","",COUNTIF($S$3:$S719,"DUE"))</f>
        <v/>
      </c>
    </row>
    <row r="720" customFormat="false" ht="15" hidden="false" customHeight="false" outlineLevel="0" collapsed="false">
      <c r="A720" s="12" t="str">
        <f aca="false">IF($F720="","",ROW()-2)</f>
        <v/>
      </c>
      <c r="B720" s="19"/>
      <c r="C720" s="20"/>
      <c r="D720" s="21"/>
      <c r="E720" s="21"/>
      <c r="F720" s="21"/>
      <c r="G720" s="20"/>
      <c r="H720" s="21"/>
      <c r="I720" s="20"/>
      <c r="J720" s="20"/>
      <c r="K720" s="21"/>
      <c r="L720" s="21"/>
      <c r="M720" s="22" t="str">
        <f aca="false">IF($B720="","",$B720+2)</f>
        <v/>
      </c>
      <c r="N720" s="20"/>
      <c r="O720" s="22" t="str">
        <f aca="false">IF($B720="","",$B720+5)</f>
        <v/>
      </c>
      <c r="P720" s="20"/>
      <c r="Q720" s="22" t="str">
        <f aca="false">IF($B720="","",$B720+10)</f>
        <v/>
      </c>
      <c r="R720" s="20"/>
      <c r="S720" s="23" t="str">
        <f aca="true">IF($B720="","",IF(AND($N720="Y",$P720="Y",$R720="Y"),"Done",IF(OR(AND($M720&lt;=TODAY(),$N720&lt;&gt;"Y"),AND($O720&lt;=TODAY(),$P720&lt;&gt;"Y"),AND($Q720&lt;=TODAY(),$R720&lt;&gt;"Y")),"DUE","Scheduled")))</f>
        <v/>
      </c>
      <c r="T720" s="20"/>
      <c r="U720" s="23" t="str">
        <f aca="false">IF($B720="","",IF(OR($T720&lt;=2,$I720="Editorial"),"REDO",""))</f>
        <v/>
      </c>
      <c r="V720" s="18" t="str">
        <f aca="false">IF($S720&lt;&gt;"DUE","",COUNTIF($S$3:$S720,"DUE"))</f>
        <v/>
      </c>
    </row>
    <row r="721" customFormat="false" ht="15" hidden="false" customHeight="false" outlineLevel="0" collapsed="false">
      <c r="A721" s="12" t="str">
        <f aca="false">IF($F721="","",ROW()-2)</f>
        <v/>
      </c>
      <c r="B721" s="19"/>
      <c r="C721" s="20"/>
      <c r="D721" s="21"/>
      <c r="E721" s="21"/>
      <c r="F721" s="21"/>
      <c r="G721" s="20"/>
      <c r="H721" s="21"/>
      <c r="I721" s="20"/>
      <c r="J721" s="20"/>
      <c r="K721" s="21"/>
      <c r="L721" s="21"/>
      <c r="M721" s="22" t="str">
        <f aca="false">IF($B721="","",$B721+2)</f>
        <v/>
      </c>
      <c r="N721" s="20"/>
      <c r="O721" s="22" t="str">
        <f aca="false">IF($B721="","",$B721+5)</f>
        <v/>
      </c>
      <c r="P721" s="20"/>
      <c r="Q721" s="22" t="str">
        <f aca="false">IF($B721="","",$B721+10)</f>
        <v/>
      </c>
      <c r="R721" s="20"/>
      <c r="S721" s="23" t="str">
        <f aca="true">IF($B721="","",IF(AND($N721="Y",$P721="Y",$R721="Y"),"Done",IF(OR(AND($M721&lt;=TODAY(),$N721&lt;&gt;"Y"),AND($O721&lt;=TODAY(),$P721&lt;&gt;"Y"),AND($Q721&lt;=TODAY(),$R721&lt;&gt;"Y")),"DUE","Scheduled")))</f>
        <v/>
      </c>
      <c r="T721" s="20"/>
      <c r="U721" s="23" t="str">
        <f aca="false">IF($B721="","",IF(OR($T721&lt;=2,$I721="Editorial"),"REDO",""))</f>
        <v/>
      </c>
      <c r="V721" s="18" t="str">
        <f aca="false">IF($S721&lt;&gt;"DUE","",COUNTIF($S$3:$S721,"DUE"))</f>
        <v/>
      </c>
    </row>
    <row r="722" customFormat="false" ht="15" hidden="false" customHeight="false" outlineLevel="0" collapsed="false">
      <c r="A722" s="12" t="str">
        <f aca="false">IF($F722="","",ROW()-2)</f>
        <v/>
      </c>
      <c r="B722" s="19"/>
      <c r="C722" s="20"/>
      <c r="D722" s="21"/>
      <c r="E722" s="21"/>
      <c r="F722" s="21"/>
      <c r="G722" s="20"/>
      <c r="H722" s="21"/>
      <c r="I722" s="20"/>
      <c r="J722" s="20"/>
      <c r="K722" s="21"/>
      <c r="L722" s="21"/>
      <c r="M722" s="22" t="str">
        <f aca="false">IF($B722="","",$B722+2)</f>
        <v/>
      </c>
      <c r="N722" s="20"/>
      <c r="O722" s="22" t="str">
        <f aca="false">IF($B722="","",$B722+5)</f>
        <v/>
      </c>
      <c r="P722" s="20"/>
      <c r="Q722" s="22" t="str">
        <f aca="false">IF($B722="","",$B722+10)</f>
        <v/>
      </c>
      <c r="R722" s="20"/>
      <c r="S722" s="23" t="str">
        <f aca="true">IF($B722="","",IF(AND($N722="Y",$P722="Y",$R722="Y"),"Done",IF(OR(AND($M722&lt;=TODAY(),$N722&lt;&gt;"Y"),AND($O722&lt;=TODAY(),$P722&lt;&gt;"Y"),AND($Q722&lt;=TODAY(),$R722&lt;&gt;"Y")),"DUE","Scheduled")))</f>
        <v/>
      </c>
      <c r="T722" s="20"/>
      <c r="U722" s="23" t="str">
        <f aca="false">IF($B722="","",IF(OR($T722&lt;=2,$I722="Editorial"),"REDO",""))</f>
        <v/>
      </c>
      <c r="V722" s="18" t="str">
        <f aca="false">IF($S722&lt;&gt;"DUE","",COUNTIF($S$3:$S722,"DUE"))</f>
        <v/>
      </c>
    </row>
    <row r="723" customFormat="false" ht="15" hidden="false" customHeight="false" outlineLevel="0" collapsed="false">
      <c r="A723" s="12" t="str">
        <f aca="false">IF($F723="","",ROW()-2)</f>
        <v/>
      </c>
      <c r="B723" s="19"/>
      <c r="C723" s="20"/>
      <c r="D723" s="21"/>
      <c r="E723" s="21"/>
      <c r="F723" s="21"/>
      <c r="G723" s="20"/>
      <c r="H723" s="21"/>
      <c r="I723" s="20"/>
      <c r="J723" s="20"/>
      <c r="K723" s="21"/>
      <c r="L723" s="21"/>
      <c r="M723" s="22" t="str">
        <f aca="false">IF($B723="","",$B723+2)</f>
        <v/>
      </c>
      <c r="N723" s="20"/>
      <c r="O723" s="22" t="str">
        <f aca="false">IF($B723="","",$B723+5)</f>
        <v/>
      </c>
      <c r="P723" s="20"/>
      <c r="Q723" s="22" t="str">
        <f aca="false">IF($B723="","",$B723+10)</f>
        <v/>
      </c>
      <c r="R723" s="20"/>
      <c r="S723" s="23" t="str">
        <f aca="true">IF($B723="","",IF(AND($N723="Y",$P723="Y",$R723="Y"),"Done",IF(OR(AND($M723&lt;=TODAY(),$N723&lt;&gt;"Y"),AND($O723&lt;=TODAY(),$P723&lt;&gt;"Y"),AND($Q723&lt;=TODAY(),$R723&lt;&gt;"Y")),"DUE","Scheduled")))</f>
        <v/>
      </c>
      <c r="T723" s="20"/>
      <c r="U723" s="23" t="str">
        <f aca="false">IF($B723="","",IF(OR($T723&lt;=2,$I723="Editorial"),"REDO",""))</f>
        <v/>
      </c>
      <c r="V723" s="18" t="str">
        <f aca="false">IF($S723&lt;&gt;"DUE","",COUNTIF($S$3:$S723,"DUE"))</f>
        <v/>
      </c>
    </row>
    <row r="724" customFormat="false" ht="15" hidden="false" customHeight="false" outlineLevel="0" collapsed="false">
      <c r="A724" s="12" t="str">
        <f aca="false">IF($F724="","",ROW()-2)</f>
        <v/>
      </c>
      <c r="B724" s="19"/>
      <c r="C724" s="20"/>
      <c r="D724" s="21"/>
      <c r="E724" s="21"/>
      <c r="F724" s="21"/>
      <c r="G724" s="20"/>
      <c r="H724" s="21"/>
      <c r="I724" s="20"/>
      <c r="J724" s="20"/>
      <c r="K724" s="21"/>
      <c r="L724" s="21"/>
      <c r="M724" s="22" t="str">
        <f aca="false">IF($B724="","",$B724+2)</f>
        <v/>
      </c>
      <c r="N724" s="20"/>
      <c r="O724" s="22" t="str">
        <f aca="false">IF($B724="","",$B724+5)</f>
        <v/>
      </c>
      <c r="P724" s="20"/>
      <c r="Q724" s="22" t="str">
        <f aca="false">IF($B724="","",$B724+10)</f>
        <v/>
      </c>
      <c r="R724" s="20"/>
      <c r="S724" s="23" t="str">
        <f aca="true">IF($B724="","",IF(AND($N724="Y",$P724="Y",$R724="Y"),"Done",IF(OR(AND($M724&lt;=TODAY(),$N724&lt;&gt;"Y"),AND($O724&lt;=TODAY(),$P724&lt;&gt;"Y"),AND($Q724&lt;=TODAY(),$R724&lt;&gt;"Y")),"DUE","Scheduled")))</f>
        <v/>
      </c>
      <c r="T724" s="20"/>
      <c r="U724" s="23" t="str">
        <f aca="false">IF($B724="","",IF(OR($T724&lt;=2,$I724="Editorial"),"REDO",""))</f>
        <v/>
      </c>
      <c r="V724" s="18" t="str">
        <f aca="false">IF($S724&lt;&gt;"DUE","",COUNTIF($S$3:$S724,"DUE"))</f>
        <v/>
      </c>
    </row>
    <row r="725" customFormat="false" ht="15" hidden="false" customHeight="false" outlineLevel="0" collapsed="false">
      <c r="A725" s="12" t="str">
        <f aca="false">IF($F725="","",ROW()-2)</f>
        <v/>
      </c>
      <c r="B725" s="19"/>
      <c r="C725" s="20"/>
      <c r="D725" s="21"/>
      <c r="E725" s="21"/>
      <c r="F725" s="21"/>
      <c r="G725" s="20"/>
      <c r="H725" s="21"/>
      <c r="I725" s="20"/>
      <c r="J725" s="20"/>
      <c r="K725" s="21"/>
      <c r="L725" s="21"/>
      <c r="M725" s="22" t="str">
        <f aca="false">IF($B725="","",$B725+2)</f>
        <v/>
      </c>
      <c r="N725" s="20"/>
      <c r="O725" s="22" t="str">
        <f aca="false">IF($B725="","",$B725+5)</f>
        <v/>
      </c>
      <c r="P725" s="20"/>
      <c r="Q725" s="22" t="str">
        <f aca="false">IF($B725="","",$B725+10)</f>
        <v/>
      </c>
      <c r="R725" s="20"/>
      <c r="S725" s="23" t="str">
        <f aca="true">IF($B725="","",IF(AND($N725="Y",$P725="Y",$R725="Y"),"Done",IF(OR(AND($M725&lt;=TODAY(),$N725&lt;&gt;"Y"),AND($O725&lt;=TODAY(),$P725&lt;&gt;"Y"),AND($Q725&lt;=TODAY(),$R725&lt;&gt;"Y")),"DUE","Scheduled")))</f>
        <v/>
      </c>
      <c r="T725" s="20"/>
      <c r="U725" s="23" t="str">
        <f aca="false">IF($B725="","",IF(OR($T725&lt;=2,$I725="Editorial"),"REDO",""))</f>
        <v/>
      </c>
      <c r="V725" s="18" t="str">
        <f aca="false">IF($S725&lt;&gt;"DUE","",COUNTIF($S$3:$S725,"DUE"))</f>
        <v/>
      </c>
    </row>
    <row r="726" customFormat="false" ht="15" hidden="false" customHeight="false" outlineLevel="0" collapsed="false">
      <c r="A726" s="12" t="str">
        <f aca="false">IF($F726="","",ROW()-2)</f>
        <v/>
      </c>
      <c r="B726" s="19"/>
      <c r="C726" s="20"/>
      <c r="D726" s="21"/>
      <c r="E726" s="21"/>
      <c r="F726" s="21"/>
      <c r="G726" s="20"/>
      <c r="H726" s="21"/>
      <c r="I726" s="20"/>
      <c r="J726" s="20"/>
      <c r="K726" s="21"/>
      <c r="L726" s="21"/>
      <c r="M726" s="22" t="str">
        <f aca="false">IF($B726="","",$B726+2)</f>
        <v/>
      </c>
      <c r="N726" s="20"/>
      <c r="O726" s="22" t="str">
        <f aca="false">IF($B726="","",$B726+5)</f>
        <v/>
      </c>
      <c r="P726" s="20"/>
      <c r="Q726" s="22" t="str">
        <f aca="false">IF($B726="","",$B726+10)</f>
        <v/>
      </c>
      <c r="R726" s="20"/>
      <c r="S726" s="23" t="str">
        <f aca="true">IF($B726="","",IF(AND($N726="Y",$P726="Y",$R726="Y"),"Done",IF(OR(AND($M726&lt;=TODAY(),$N726&lt;&gt;"Y"),AND($O726&lt;=TODAY(),$P726&lt;&gt;"Y"),AND($Q726&lt;=TODAY(),$R726&lt;&gt;"Y")),"DUE","Scheduled")))</f>
        <v/>
      </c>
      <c r="T726" s="20"/>
      <c r="U726" s="23" t="str">
        <f aca="false">IF($B726="","",IF(OR($T726&lt;=2,$I726="Editorial"),"REDO",""))</f>
        <v/>
      </c>
      <c r="V726" s="18" t="str">
        <f aca="false">IF($S726&lt;&gt;"DUE","",COUNTIF($S$3:$S726,"DUE"))</f>
        <v/>
      </c>
    </row>
    <row r="727" customFormat="false" ht="15" hidden="false" customHeight="false" outlineLevel="0" collapsed="false">
      <c r="A727" s="12" t="str">
        <f aca="false">IF($F727="","",ROW()-2)</f>
        <v/>
      </c>
      <c r="B727" s="19"/>
      <c r="C727" s="20"/>
      <c r="D727" s="21"/>
      <c r="E727" s="21"/>
      <c r="F727" s="21"/>
      <c r="G727" s="20"/>
      <c r="H727" s="21"/>
      <c r="I727" s="20"/>
      <c r="J727" s="20"/>
      <c r="K727" s="21"/>
      <c r="L727" s="21"/>
      <c r="M727" s="22" t="str">
        <f aca="false">IF($B727="","",$B727+2)</f>
        <v/>
      </c>
      <c r="N727" s="20"/>
      <c r="O727" s="22" t="str">
        <f aca="false">IF($B727="","",$B727+5)</f>
        <v/>
      </c>
      <c r="P727" s="20"/>
      <c r="Q727" s="22" t="str">
        <f aca="false">IF($B727="","",$B727+10)</f>
        <v/>
      </c>
      <c r="R727" s="20"/>
      <c r="S727" s="23" t="str">
        <f aca="true">IF($B727="","",IF(AND($N727="Y",$P727="Y",$R727="Y"),"Done",IF(OR(AND($M727&lt;=TODAY(),$N727&lt;&gt;"Y"),AND($O727&lt;=TODAY(),$P727&lt;&gt;"Y"),AND($Q727&lt;=TODAY(),$R727&lt;&gt;"Y")),"DUE","Scheduled")))</f>
        <v/>
      </c>
      <c r="T727" s="20"/>
      <c r="U727" s="23" t="str">
        <f aca="false">IF($B727="","",IF(OR($T727&lt;=2,$I727="Editorial"),"REDO",""))</f>
        <v/>
      </c>
      <c r="V727" s="18" t="str">
        <f aca="false">IF($S727&lt;&gt;"DUE","",COUNTIF($S$3:$S727,"DUE"))</f>
        <v/>
      </c>
    </row>
    <row r="728" customFormat="false" ht="15" hidden="false" customHeight="false" outlineLevel="0" collapsed="false">
      <c r="A728" s="12" t="str">
        <f aca="false">IF($F728="","",ROW()-2)</f>
        <v/>
      </c>
      <c r="B728" s="19"/>
      <c r="C728" s="20"/>
      <c r="D728" s="21"/>
      <c r="E728" s="21"/>
      <c r="F728" s="21"/>
      <c r="G728" s="20"/>
      <c r="H728" s="21"/>
      <c r="I728" s="20"/>
      <c r="J728" s="20"/>
      <c r="K728" s="21"/>
      <c r="L728" s="21"/>
      <c r="M728" s="22" t="str">
        <f aca="false">IF($B728="","",$B728+2)</f>
        <v/>
      </c>
      <c r="N728" s="20"/>
      <c r="O728" s="22" t="str">
        <f aca="false">IF($B728="","",$B728+5)</f>
        <v/>
      </c>
      <c r="P728" s="20"/>
      <c r="Q728" s="22" t="str">
        <f aca="false">IF($B728="","",$B728+10)</f>
        <v/>
      </c>
      <c r="R728" s="20"/>
      <c r="S728" s="23" t="str">
        <f aca="true">IF($B728="","",IF(AND($N728="Y",$P728="Y",$R728="Y"),"Done",IF(OR(AND($M728&lt;=TODAY(),$N728&lt;&gt;"Y"),AND($O728&lt;=TODAY(),$P728&lt;&gt;"Y"),AND($Q728&lt;=TODAY(),$R728&lt;&gt;"Y")),"DUE","Scheduled")))</f>
        <v/>
      </c>
      <c r="T728" s="20"/>
      <c r="U728" s="23" t="str">
        <f aca="false">IF($B728="","",IF(OR($T728&lt;=2,$I728="Editorial"),"REDO",""))</f>
        <v/>
      </c>
      <c r="V728" s="18" t="str">
        <f aca="false">IF($S728&lt;&gt;"DUE","",COUNTIF($S$3:$S728,"DUE"))</f>
        <v/>
      </c>
    </row>
    <row r="729" customFormat="false" ht="15" hidden="false" customHeight="false" outlineLevel="0" collapsed="false">
      <c r="A729" s="12" t="str">
        <f aca="false">IF($F729="","",ROW()-2)</f>
        <v/>
      </c>
      <c r="B729" s="19"/>
      <c r="C729" s="20"/>
      <c r="D729" s="21"/>
      <c r="E729" s="21"/>
      <c r="F729" s="21"/>
      <c r="G729" s="20"/>
      <c r="H729" s="21"/>
      <c r="I729" s="20"/>
      <c r="J729" s="20"/>
      <c r="K729" s="21"/>
      <c r="L729" s="21"/>
      <c r="M729" s="22" t="str">
        <f aca="false">IF($B729="","",$B729+2)</f>
        <v/>
      </c>
      <c r="N729" s="20"/>
      <c r="O729" s="22" t="str">
        <f aca="false">IF($B729="","",$B729+5)</f>
        <v/>
      </c>
      <c r="P729" s="20"/>
      <c r="Q729" s="22" t="str">
        <f aca="false">IF($B729="","",$B729+10)</f>
        <v/>
      </c>
      <c r="R729" s="20"/>
      <c r="S729" s="23" t="str">
        <f aca="true">IF($B729="","",IF(AND($N729="Y",$P729="Y",$R729="Y"),"Done",IF(OR(AND($M729&lt;=TODAY(),$N729&lt;&gt;"Y"),AND($O729&lt;=TODAY(),$P729&lt;&gt;"Y"),AND($Q729&lt;=TODAY(),$R729&lt;&gt;"Y")),"DUE","Scheduled")))</f>
        <v/>
      </c>
      <c r="T729" s="20"/>
      <c r="U729" s="23" t="str">
        <f aca="false">IF($B729="","",IF(OR($T729&lt;=2,$I729="Editorial"),"REDO",""))</f>
        <v/>
      </c>
      <c r="V729" s="18" t="str">
        <f aca="false">IF($S729&lt;&gt;"DUE","",COUNTIF($S$3:$S729,"DUE"))</f>
        <v/>
      </c>
    </row>
    <row r="730" customFormat="false" ht="15" hidden="false" customHeight="false" outlineLevel="0" collapsed="false">
      <c r="A730" s="12" t="str">
        <f aca="false">IF($F730="","",ROW()-2)</f>
        <v/>
      </c>
      <c r="B730" s="19"/>
      <c r="C730" s="20"/>
      <c r="D730" s="21"/>
      <c r="E730" s="21"/>
      <c r="F730" s="21"/>
      <c r="G730" s="20"/>
      <c r="H730" s="21"/>
      <c r="I730" s="20"/>
      <c r="J730" s="20"/>
      <c r="K730" s="21"/>
      <c r="L730" s="21"/>
      <c r="M730" s="22" t="str">
        <f aca="false">IF($B730="","",$B730+2)</f>
        <v/>
      </c>
      <c r="N730" s="20"/>
      <c r="O730" s="22" t="str">
        <f aca="false">IF($B730="","",$B730+5)</f>
        <v/>
      </c>
      <c r="P730" s="20"/>
      <c r="Q730" s="22" t="str">
        <f aca="false">IF($B730="","",$B730+10)</f>
        <v/>
      </c>
      <c r="R730" s="20"/>
      <c r="S730" s="23" t="str">
        <f aca="true">IF($B730="","",IF(AND($N730="Y",$P730="Y",$R730="Y"),"Done",IF(OR(AND($M730&lt;=TODAY(),$N730&lt;&gt;"Y"),AND($O730&lt;=TODAY(),$P730&lt;&gt;"Y"),AND($Q730&lt;=TODAY(),$R730&lt;&gt;"Y")),"DUE","Scheduled")))</f>
        <v/>
      </c>
      <c r="T730" s="20"/>
      <c r="U730" s="23" t="str">
        <f aca="false">IF($B730="","",IF(OR($T730&lt;=2,$I730="Editorial"),"REDO",""))</f>
        <v/>
      </c>
      <c r="V730" s="18" t="str">
        <f aca="false">IF($S730&lt;&gt;"DUE","",COUNTIF($S$3:$S730,"DUE"))</f>
        <v/>
      </c>
    </row>
    <row r="731" customFormat="false" ht="15" hidden="false" customHeight="false" outlineLevel="0" collapsed="false">
      <c r="A731" s="12" t="str">
        <f aca="false">IF($F731="","",ROW()-2)</f>
        <v/>
      </c>
      <c r="B731" s="19"/>
      <c r="C731" s="20"/>
      <c r="D731" s="21"/>
      <c r="E731" s="21"/>
      <c r="F731" s="21"/>
      <c r="G731" s="20"/>
      <c r="H731" s="21"/>
      <c r="I731" s="20"/>
      <c r="J731" s="20"/>
      <c r="K731" s="21"/>
      <c r="L731" s="21"/>
      <c r="M731" s="22" t="str">
        <f aca="false">IF($B731="","",$B731+2)</f>
        <v/>
      </c>
      <c r="N731" s="20"/>
      <c r="O731" s="22" t="str">
        <f aca="false">IF($B731="","",$B731+5)</f>
        <v/>
      </c>
      <c r="P731" s="20"/>
      <c r="Q731" s="22" t="str">
        <f aca="false">IF($B731="","",$B731+10)</f>
        <v/>
      </c>
      <c r="R731" s="20"/>
      <c r="S731" s="23" t="str">
        <f aca="true">IF($B731="","",IF(AND($N731="Y",$P731="Y",$R731="Y"),"Done",IF(OR(AND($M731&lt;=TODAY(),$N731&lt;&gt;"Y"),AND($O731&lt;=TODAY(),$P731&lt;&gt;"Y"),AND($Q731&lt;=TODAY(),$R731&lt;&gt;"Y")),"DUE","Scheduled")))</f>
        <v/>
      </c>
      <c r="T731" s="20"/>
      <c r="U731" s="23" t="str">
        <f aca="false">IF($B731="","",IF(OR($T731&lt;=2,$I731="Editorial"),"REDO",""))</f>
        <v/>
      </c>
      <c r="V731" s="18" t="str">
        <f aca="false">IF($S731&lt;&gt;"DUE","",COUNTIF($S$3:$S731,"DUE"))</f>
        <v/>
      </c>
    </row>
    <row r="732" customFormat="false" ht="15" hidden="false" customHeight="false" outlineLevel="0" collapsed="false">
      <c r="A732" s="12" t="str">
        <f aca="false">IF($F732="","",ROW()-2)</f>
        <v/>
      </c>
      <c r="B732" s="19"/>
      <c r="C732" s="20"/>
      <c r="D732" s="21"/>
      <c r="E732" s="21"/>
      <c r="F732" s="21"/>
      <c r="G732" s="20"/>
      <c r="H732" s="21"/>
      <c r="I732" s="20"/>
      <c r="J732" s="20"/>
      <c r="K732" s="21"/>
      <c r="L732" s="21"/>
      <c r="M732" s="22" t="str">
        <f aca="false">IF($B732="","",$B732+2)</f>
        <v/>
      </c>
      <c r="N732" s="20"/>
      <c r="O732" s="22" t="str">
        <f aca="false">IF($B732="","",$B732+5)</f>
        <v/>
      </c>
      <c r="P732" s="20"/>
      <c r="Q732" s="22" t="str">
        <f aca="false">IF($B732="","",$B732+10)</f>
        <v/>
      </c>
      <c r="R732" s="20"/>
      <c r="S732" s="23" t="str">
        <f aca="true">IF($B732="","",IF(AND($N732="Y",$P732="Y",$R732="Y"),"Done",IF(OR(AND($M732&lt;=TODAY(),$N732&lt;&gt;"Y"),AND($O732&lt;=TODAY(),$P732&lt;&gt;"Y"),AND($Q732&lt;=TODAY(),$R732&lt;&gt;"Y")),"DUE","Scheduled")))</f>
        <v/>
      </c>
      <c r="T732" s="20"/>
      <c r="U732" s="23" t="str">
        <f aca="false">IF($B732="","",IF(OR($T732&lt;=2,$I732="Editorial"),"REDO",""))</f>
        <v/>
      </c>
      <c r="V732" s="18" t="str">
        <f aca="false">IF($S732&lt;&gt;"DUE","",COUNTIF($S$3:$S732,"DUE"))</f>
        <v/>
      </c>
    </row>
    <row r="733" customFormat="false" ht="15" hidden="false" customHeight="false" outlineLevel="0" collapsed="false">
      <c r="A733" s="12" t="str">
        <f aca="false">IF($F733="","",ROW()-2)</f>
        <v/>
      </c>
      <c r="B733" s="19"/>
      <c r="C733" s="20"/>
      <c r="D733" s="21"/>
      <c r="E733" s="21"/>
      <c r="F733" s="21"/>
      <c r="G733" s="20"/>
      <c r="H733" s="21"/>
      <c r="I733" s="20"/>
      <c r="J733" s="20"/>
      <c r="K733" s="21"/>
      <c r="L733" s="21"/>
      <c r="M733" s="22" t="str">
        <f aca="false">IF($B733="","",$B733+2)</f>
        <v/>
      </c>
      <c r="N733" s="20"/>
      <c r="O733" s="22" t="str">
        <f aca="false">IF($B733="","",$B733+5)</f>
        <v/>
      </c>
      <c r="P733" s="20"/>
      <c r="Q733" s="22" t="str">
        <f aca="false">IF($B733="","",$B733+10)</f>
        <v/>
      </c>
      <c r="R733" s="20"/>
      <c r="S733" s="23" t="str">
        <f aca="true">IF($B733="","",IF(AND($N733="Y",$P733="Y",$R733="Y"),"Done",IF(OR(AND($M733&lt;=TODAY(),$N733&lt;&gt;"Y"),AND($O733&lt;=TODAY(),$P733&lt;&gt;"Y"),AND($Q733&lt;=TODAY(),$R733&lt;&gt;"Y")),"DUE","Scheduled")))</f>
        <v/>
      </c>
      <c r="T733" s="20"/>
      <c r="U733" s="23" t="str">
        <f aca="false">IF($B733="","",IF(OR($T733&lt;=2,$I733="Editorial"),"REDO",""))</f>
        <v/>
      </c>
      <c r="V733" s="18" t="str">
        <f aca="false">IF($S733&lt;&gt;"DUE","",COUNTIF($S$3:$S733,"DUE"))</f>
        <v/>
      </c>
    </row>
    <row r="734" customFormat="false" ht="15" hidden="false" customHeight="false" outlineLevel="0" collapsed="false">
      <c r="A734" s="12" t="str">
        <f aca="false">IF($F734="","",ROW()-2)</f>
        <v/>
      </c>
      <c r="B734" s="19"/>
      <c r="C734" s="20"/>
      <c r="D734" s="21"/>
      <c r="E734" s="21"/>
      <c r="F734" s="21"/>
      <c r="G734" s="20"/>
      <c r="H734" s="21"/>
      <c r="I734" s="20"/>
      <c r="J734" s="20"/>
      <c r="K734" s="21"/>
      <c r="L734" s="21"/>
      <c r="M734" s="22" t="str">
        <f aca="false">IF($B734="","",$B734+2)</f>
        <v/>
      </c>
      <c r="N734" s="20"/>
      <c r="O734" s="22" t="str">
        <f aca="false">IF($B734="","",$B734+5)</f>
        <v/>
      </c>
      <c r="P734" s="20"/>
      <c r="Q734" s="22" t="str">
        <f aca="false">IF($B734="","",$B734+10)</f>
        <v/>
      </c>
      <c r="R734" s="20"/>
      <c r="S734" s="23" t="str">
        <f aca="true">IF($B734="","",IF(AND($N734="Y",$P734="Y",$R734="Y"),"Done",IF(OR(AND($M734&lt;=TODAY(),$N734&lt;&gt;"Y"),AND($O734&lt;=TODAY(),$P734&lt;&gt;"Y"),AND($Q734&lt;=TODAY(),$R734&lt;&gt;"Y")),"DUE","Scheduled")))</f>
        <v/>
      </c>
      <c r="T734" s="20"/>
      <c r="U734" s="23" t="str">
        <f aca="false">IF($B734="","",IF(OR($T734&lt;=2,$I734="Editorial"),"REDO",""))</f>
        <v/>
      </c>
      <c r="V734" s="18" t="str">
        <f aca="false">IF($S734&lt;&gt;"DUE","",COUNTIF($S$3:$S734,"DUE"))</f>
        <v/>
      </c>
    </row>
    <row r="735" customFormat="false" ht="15" hidden="false" customHeight="false" outlineLevel="0" collapsed="false">
      <c r="A735" s="12" t="str">
        <f aca="false">IF($F735="","",ROW()-2)</f>
        <v/>
      </c>
      <c r="B735" s="19"/>
      <c r="C735" s="20"/>
      <c r="D735" s="21"/>
      <c r="E735" s="21"/>
      <c r="F735" s="21"/>
      <c r="G735" s="20"/>
      <c r="H735" s="21"/>
      <c r="I735" s="20"/>
      <c r="J735" s="20"/>
      <c r="K735" s="21"/>
      <c r="L735" s="21"/>
      <c r="M735" s="22" t="str">
        <f aca="false">IF($B735="","",$B735+2)</f>
        <v/>
      </c>
      <c r="N735" s="20"/>
      <c r="O735" s="22" t="str">
        <f aca="false">IF($B735="","",$B735+5)</f>
        <v/>
      </c>
      <c r="P735" s="20"/>
      <c r="Q735" s="22" t="str">
        <f aca="false">IF($B735="","",$B735+10)</f>
        <v/>
      </c>
      <c r="R735" s="20"/>
      <c r="S735" s="23" t="str">
        <f aca="true">IF($B735="","",IF(AND($N735="Y",$P735="Y",$R735="Y"),"Done",IF(OR(AND($M735&lt;=TODAY(),$N735&lt;&gt;"Y"),AND($O735&lt;=TODAY(),$P735&lt;&gt;"Y"),AND($Q735&lt;=TODAY(),$R735&lt;&gt;"Y")),"DUE","Scheduled")))</f>
        <v/>
      </c>
      <c r="T735" s="20"/>
      <c r="U735" s="23" t="str">
        <f aca="false">IF($B735="","",IF(OR($T735&lt;=2,$I735="Editorial"),"REDO",""))</f>
        <v/>
      </c>
      <c r="V735" s="18" t="str">
        <f aca="false">IF($S735&lt;&gt;"DUE","",COUNTIF($S$3:$S735,"DUE"))</f>
        <v/>
      </c>
    </row>
    <row r="736" customFormat="false" ht="15" hidden="false" customHeight="false" outlineLevel="0" collapsed="false">
      <c r="A736" s="12" t="str">
        <f aca="false">IF($F736="","",ROW()-2)</f>
        <v/>
      </c>
      <c r="B736" s="19"/>
      <c r="C736" s="20"/>
      <c r="D736" s="21"/>
      <c r="E736" s="21"/>
      <c r="F736" s="21"/>
      <c r="G736" s="20"/>
      <c r="H736" s="21"/>
      <c r="I736" s="20"/>
      <c r="J736" s="20"/>
      <c r="K736" s="21"/>
      <c r="L736" s="21"/>
      <c r="M736" s="22" t="str">
        <f aca="false">IF($B736="","",$B736+2)</f>
        <v/>
      </c>
      <c r="N736" s="20"/>
      <c r="O736" s="22" t="str">
        <f aca="false">IF($B736="","",$B736+5)</f>
        <v/>
      </c>
      <c r="P736" s="20"/>
      <c r="Q736" s="22" t="str">
        <f aca="false">IF($B736="","",$B736+10)</f>
        <v/>
      </c>
      <c r="R736" s="20"/>
      <c r="S736" s="23" t="str">
        <f aca="true">IF($B736="","",IF(AND($N736="Y",$P736="Y",$R736="Y"),"Done",IF(OR(AND($M736&lt;=TODAY(),$N736&lt;&gt;"Y"),AND($O736&lt;=TODAY(),$P736&lt;&gt;"Y"),AND($Q736&lt;=TODAY(),$R736&lt;&gt;"Y")),"DUE","Scheduled")))</f>
        <v/>
      </c>
      <c r="T736" s="20"/>
      <c r="U736" s="23" t="str">
        <f aca="false">IF($B736="","",IF(OR($T736&lt;=2,$I736="Editorial"),"REDO",""))</f>
        <v/>
      </c>
      <c r="V736" s="18" t="str">
        <f aca="false">IF($S736&lt;&gt;"DUE","",COUNTIF($S$3:$S736,"DUE"))</f>
        <v/>
      </c>
    </row>
    <row r="737" customFormat="false" ht="15" hidden="false" customHeight="false" outlineLevel="0" collapsed="false">
      <c r="A737" s="12" t="str">
        <f aca="false">IF($F737="","",ROW()-2)</f>
        <v/>
      </c>
      <c r="B737" s="19"/>
      <c r="C737" s="20"/>
      <c r="D737" s="21"/>
      <c r="E737" s="21"/>
      <c r="F737" s="21"/>
      <c r="G737" s="20"/>
      <c r="H737" s="21"/>
      <c r="I737" s="20"/>
      <c r="J737" s="20"/>
      <c r="K737" s="21"/>
      <c r="L737" s="21"/>
      <c r="M737" s="22" t="str">
        <f aca="false">IF($B737="","",$B737+2)</f>
        <v/>
      </c>
      <c r="N737" s="20"/>
      <c r="O737" s="22" t="str">
        <f aca="false">IF($B737="","",$B737+5)</f>
        <v/>
      </c>
      <c r="P737" s="20"/>
      <c r="Q737" s="22" t="str">
        <f aca="false">IF($B737="","",$B737+10)</f>
        <v/>
      </c>
      <c r="R737" s="20"/>
      <c r="S737" s="23" t="str">
        <f aca="true">IF($B737="","",IF(AND($N737="Y",$P737="Y",$R737="Y"),"Done",IF(OR(AND($M737&lt;=TODAY(),$N737&lt;&gt;"Y"),AND($O737&lt;=TODAY(),$P737&lt;&gt;"Y"),AND($Q737&lt;=TODAY(),$R737&lt;&gt;"Y")),"DUE","Scheduled")))</f>
        <v/>
      </c>
      <c r="T737" s="20"/>
      <c r="U737" s="23" t="str">
        <f aca="false">IF($B737="","",IF(OR($T737&lt;=2,$I737="Editorial"),"REDO",""))</f>
        <v/>
      </c>
      <c r="V737" s="18" t="str">
        <f aca="false">IF($S737&lt;&gt;"DUE","",COUNTIF($S$3:$S737,"DUE"))</f>
        <v/>
      </c>
    </row>
    <row r="738" customFormat="false" ht="15" hidden="false" customHeight="false" outlineLevel="0" collapsed="false">
      <c r="A738" s="12" t="str">
        <f aca="false">IF($F738="","",ROW()-2)</f>
        <v/>
      </c>
      <c r="B738" s="19"/>
      <c r="C738" s="20"/>
      <c r="D738" s="21"/>
      <c r="E738" s="21"/>
      <c r="F738" s="21"/>
      <c r="G738" s="20"/>
      <c r="H738" s="21"/>
      <c r="I738" s="20"/>
      <c r="J738" s="20"/>
      <c r="K738" s="21"/>
      <c r="L738" s="21"/>
      <c r="M738" s="22" t="str">
        <f aca="false">IF($B738="","",$B738+2)</f>
        <v/>
      </c>
      <c r="N738" s="20"/>
      <c r="O738" s="22" t="str">
        <f aca="false">IF($B738="","",$B738+5)</f>
        <v/>
      </c>
      <c r="P738" s="20"/>
      <c r="Q738" s="22" t="str">
        <f aca="false">IF($B738="","",$B738+10)</f>
        <v/>
      </c>
      <c r="R738" s="20"/>
      <c r="S738" s="23" t="str">
        <f aca="true">IF($B738="","",IF(AND($N738="Y",$P738="Y",$R738="Y"),"Done",IF(OR(AND($M738&lt;=TODAY(),$N738&lt;&gt;"Y"),AND($O738&lt;=TODAY(),$P738&lt;&gt;"Y"),AND($Q738&lt;=TODAY(),$R738&lt;&gt;"Y")),"DUE","Scheduled")))</f>
        <v/>
      </c>
      <c r="T738" s="20"/>
      <c r="U738" s="23" t="str">
        <f aca="false">IF($B738="","",IF(OR($T738&lt;=2,$I738="Editorial"),"REDO",""))</f>
        <v/>
      </c>
      <c r="V738" s="18" t="str">
        <f aca="false">IF($S738&lt;&gt;"DUE","",COUNTIF($S$3:$S738,"DUE"))</f>
        <v/>
      </c>
    </row>
    <row r="739" customFormat="false" ht="15" hidden="false" customHeight="false" outlineLevel="0" collapsed="false">
      <c r="A739" s="12" t="str">
        <f aca="false">IF($F739="","",ROW()-2)</f>
        <v/>
      </c>
      <c r="B739" s="19"/>
      <c r="C739" s="20"/>
      <c r="D739" s="21"/>
      <c r="E739" s="21"/>
      <c r="F739" s="21"/>
      <c r="G739" s="20"/>
      <c r="H739" s="21"/>
      <c r="I739" s="20"/>
      <c r="J739" s="20"/>
      <c r="K739" s="21"/>
      <c r="L739" s="21"/>
      <c r="M739" s="22" t="str">
        <f aca="false">IF($B739="","",$B739+2)</f>
        <v/>
      </c>
      <c r="N739" s="20"/>
      <c r="O739" s="22" t="str">
        <f aca="false">IF($B739="","",$B739+5)</f>
        <v/>
      </c>
      <c r="P739" s="20"/>
      <c r="Q739" s="22" t="str">
        <f aca="false">IF($B739="","",$B739+10)</f>
        <v/>
      </c>
      <c r="R739" s="20"/>
      <c r="S739" s="23" t="str">
        <f aca="true">IF($B739="","",IF(AND($N739="Y",$P739="Y",$R739="Y"),"Done",IF(OR(AND($M739&lt;=TODAY(),$N739&lt;&gt;"Y"),AND($O739&lt;=TODAY(),$P739&lt;&gt;"Y"),AND($Q739&lt;=TODAY(),$R739&lt;&gt;"Y")),"DUE","Scheduled")))</f>
        <v/>
      </c>
      <c r="T739" s="20"/>
      <c r="U739" s="23" t="str">
        <f aca="false">IF($B739="","",IF(OR($T739&lt;=2,$I739="Editorial"),"REDO",""))</f>
        <v/>
      </c>
      <c r="V739" s="18" t="str">
        <f aca="false">IF($S739&lt;&gt;"DUE","",COUNTIF($S$3:$S739,"DUE"))</f>
        <v/>
      </c>
    </row>
    <row r="740" customFormat="false" ht="15" hidden="false" customHeight="false" outlineLevel="0" collapsed="false">
      <c r="A740" s="12" t="str">
        <f aca="false">IF($F740="","",ROW()-2)</f>
        <v/>
      </c>
      <c r="B740" s="19"/>
      <c r="C740" s="20"/>
      <c r="D740" s="21"/>
      <c r="E740" s="21"/>
      <c r="F740" s="21"/>
      <c r="G740" s="20"/>
      <c r="H740" s="21"/>
      <c r="I740" s="20"/>
      <c r="J740" s="20"/>
      <c r="K740" s="21"/>
      <c r="L740" s="21"/>
      <c r="M740" s="22" t="str">
        <f aca="false">IF($B740="","",$B740+2)</f>
        <v/>
      </c>
      <c r="N740" s="20"/>
      <c r="O740" s="22" t="str">
        <f aca="false">IF($B740="","",$B740+5)</f>
        <v/>
      </c>
      <c r="P740" s="20"/>
      <c r="Q740" s="22" t="str">
        <f aca="false">IF($B740="","",$B740+10)</f>
        <v/>
      </c>
      <c r="R740" s="20"/>
      <c r="S740" s="23" t="str">
        <f aca="true">IF($B740="","",IF(AND($N740="Y",$P740="Y",$R740="Y"),"Done",IF(OR(AND($M740&lt;=TODAY(),$N740&lt;&gt;"Y"),AND($O740&lt;=TODAY(),$P740&lt;&gt;"Y"),AND($Q740&lt;=TODAY(),$R740&lt;&gt;"Y")),"DUE","Scheduled")))</f>
        <v/>
      </c>
      <c r="T740" s="20"/>
      <c r="U740" s="23" t="str">
        <f aca="false">IF($B740="","",IF(OR($T740&lt;=2,$I740="Editorial"),"REDO",""))</f>
        <v/>
      </c>
      <c r="V740" s="18" t="str">
        <f aca="false">IF($S740&lt;&gt;"DUE","",COUNTIF($S$3:$S740,"DUE"))</f>
        <v/>
      </c>
    </row>
    <row r="741" customFormat="false" ht="15" hidden="false" customHeight="false" outlineLevel="0" collapsed="false">
      <c r="A741" s="12" t="str">
        <f aca="false">IF($F741="","",ROW()-2)</f>
        <v/>
      </c>
      <c r="B741" s="19"/>
      <c r="C741" s="20"/>
      <c r="D741" s="21"/>
      <c r="E741" s="21"/>
      <c r="F741" s="21"/>
      <c r="G741" s="20"/>
      <c r="H741" s="21"/>
      <c r="I741" s="20"/>
      <c r="J741" s="20"/>
      <c r="K741" s="21"/>
      <c r="L741" s="21"/>
      <c r="M741" s="22" t="str">
        <f aca="false">IF($B741="","",$B741+2)</f>
        <v/>
      </c>
      <c r="N741" s="20"/>
      <c r="O741" s="22" t="str">
        <f aca="false">IF($B741="","",$B741+5)</f>
        <v/>
      </c>
      <c r="P741" s="20"/>
      <c r="Q741" s="22" t="str">
        <f aca="false">IF($B741="","",$B741+10)</f>
        <v/>
      </c>
      <c r="R741" s="20"/>
      <c r="S741" s="23" t="str">
        <f aca="true">IF($B741="","",IF(AND($N741="Y",$P741="Y",$R741="Y"),"Done",IF(OR(AND($M741&lt;=TODAY(),$N741&lt;&gt;"Y"),AND($O741&lt;=TODAY(),$P741&lt;&gt;"Y"),AND($Q741&lt;=TODAY(),$R741&lt;&gt;"Y")),"DUE","Scheduled")))</f>
        <v/>
      </c>
      <c r="T741" s="20"/>
      <c r="U741" s="23" t="str">
        <f aca="false">IF($B741="","",IF(OR($T741&lt;=2,$I741="Editorial"),"REDO",""))</f>
        <v/>
      </c>
      <c r="V741" s="18" t="str">
        <f aca="false">IF($S741&lt;&gt;"DUE","",COUNTIF($S$3:$S741,"DUE"))</f>
        <v/>
      </c>
    </row>
    <row r="742" customFormat="false" ht="15" hidden="false" customHeight="false" outlineLevel="0" collapsed="false">
      <c r="A742" s="12" t="str">
        <f aca="false">IF($F742="","",ROW()-2)</f>
        <v/>
      </c>
      <c r="B742" s="19"/>
      <c r="C742" s="20"/>
      <c r="D742" s="21"/>
      <c r="E742" s="21"/>
      <c r="F742" s="21"/>
      <c r="G742" s="20"/>
      <c r="H742" s="21"/>
      <c r="I742" s="20"/>
      <c r="J742" s="20"/>
      <c r="K742" s="21"/>
      <c r="L742" s="21"/>
      <c r="M742" s="22" t="str">
        <f aca="false">IF($B742="","",$B742+2)</f>
        <v/>
      </c>
      <c r="N742" s="20"/>
      <c r="O742" s="22" t="str">
        <f aca="false">IF($B742="","",$B742+5)</f>
        <v/>
      </c>
      <c r="P742" s="20"/>
      <c r="Q742" s="22" t="str">
        <f aca="false">IF($B742="","",$B742+10)</f>
        <v/>
      </c>
      <c r="R742" s="20"/>
      <c r="S742" s="23" t="str">
        <f aca="true">IF($B742="","",IF(AND($N742="Y",$P742="Y",$R742="Y"),"Done",IF(OR(AND($M742&lt;=TODAY(),$N742&lt;&gt;"Y"),AND($O742&lt;=TODAY(),$P742&lt;&gt;"Y"),AND($Q742&lt;=TODAY(),$R742&lt;&gt;"Y")),"DUE","Scheduled")))</f>
        <v/>
      </c>
      <c r="T742" s="20"/>
      <c r="U742" s="23" t="str">
        <f aca="false">IF($B742="","",IF(OR($T742&lt;=2,$I742="Editorial"),"REDO",""))</f>
        <v/>
      </c>
      <c r="V742" s="18" t="str">
        <f aca="false">IF($S742&lt;&gt;"DUE","",COUNTIF($S$3:$S742,"DUE"))</f>
        <v/>
      </c>
    </row>
    <row r="743" customFormat="false" ht="15" hidden="false" customHeight="false" outlineLevel="0" collapsed="false">
      <c r="A743" s="12" t="str">
        <f aca="false">IF($F743="","",ROW()-2)</f>
        <v/>
      </c>
      <c r="B743" s="19"/>
      <c r="C743" s="20"/>
      <c r="D743" s="21"/>
      <c r="E743" s="21"/>
      <c r="F743" s="21"/>
      <c r="G743" s="20"/>
      <c r="H743" s="21"/>
      <c r="I743" s="20"/>
      <c r="J743" s="20"/>
      <c r="K743" s="21"/>
      <c r="L743" s="21"/>
      <c r="M743" s="22" t="str">
        <f aca="false">IF($B743="","",$B743+2)</f>
        <v/>
      </c>
      <c r="N743" s="20"/>
      <c r="O743" s="22" t="str">
        <f aca="false">IF($B743="","",$B743+5)</f>
        <v/>
      </c>
      <c r="P743" s="20"/>
      <c r="Q743" s="22" t="str">
        <f aca="false">IF($B743="","",$B743+10)</f>
        <v/>
      </c>
      <c r="R743" s="20"/>
      <c r="S743" s="23" t="str">
        <f aca="true">IF($B743="","",IF(AND($N743="Y",$P743="Y",$R743="Y"),"Done",IF(OR(AND($M743&lt;=TODAY(),$N743&lt;&gt;"Y"),AND($O743&lt;=TODAY(),$P743&lt;&gt;"Y"),AND($Q743&lt;=TODAY(),$R743&lt;&gt;"Y")),"DUE","Scheduled")))</f>
        <v/>
      </c>
      <c r="T743" s="20"/>
      <c r="U743" s="23" t="str">
        <f aca="false">IF($B743="","",IF(OR($T743&lt;=2,$I743="Editorial"),"REDO",""))</f>
        <v/>
      </c>
      <c r="V743" s="18" t="str">
        <f aca="false">IF($S743&lt;&gt;"DUE","",COUNTIF($S$3:$S743,"DUE"))</f>
        <v/>
      </c>
    </row>
    <row r="744" customFormat="false" ht="15" hidden="false" customHeight="false" outlineLevel="0" collapsed="false">
      <c r="A744" s="12" t="str">
        <f aca="false">IF($F744="","",ROW()-2)</f>
        <v/>
      </c>
      <c r="B744" s="19"/>
      <c r="C744" s="20"/>
      <c r="D744" s="21"/>
      <c r="E744" s="21"/>
      <c r="F744" s="21"/>
      <c r="G744" s="20"/>
      <c r="H744" s="21"/>
      <c r="I744" s="20"/>
      <c r="J744" s="20"/>
      <c r="K744" s="21"/>
      <c r="L744" s="21"/>
      <c r="M744" s="22" t="str">
        <f aca="false">IF($B744="","",$B744+2)</f>
        <v/>
      </c>
      <c r="N744" s="20"/>
      <c r="O744" s="22" t="str">
        <f aca="false">IF($B744="","",$B744+5)</f>
        <v/>
      </c>
      <c r="P744" s="20"/>
      <c r="Q744" s="22" t="str">
        <f aca="false">IF($B744="","",$B744+10)</f>
        <v/>
      </c>
      <c r="R744" s="20"/>
      <c r="S744" s="23" t="str">
        <f aca="true">IF($B744="","",IF(AND($N744="Y",$P744="Y",$R744="Y"),"Done",IF(OR(AND($M744&lt;=TODAY(),$N744&lt;&gt;"Y"),AND($O744&lt;=TODAY(),$P744&lt;&gt;"Y"),AND($Q744&lt;=TODAY(),$R744&lt;&gt;"Y")),"DUE","Scheduled")))</f>
        <v/>
      </c>
      <c r="T744" s="20"/>
      <c r="U744" s="23" t="str">
        <f aca="false">IF($B744="","",IF(OR($T744&lt;=2,$I744="Editorial"),"REDO",""))</f>
        <v/>
      </c>
      <c r="V744" s="18" t="str">
        <f aca="false">IF($S744&lt;&gt;"DUE","",COUNTIF($S$3:$S744,"DUE"))</f>
        <v/>
      </c>
    </row>
    <row r="745" customFormat="false" ht="15" hidden="false" customHeight="false" outlineLevel="0" collapsed="false">
      <c r="A745" s="12" t="str">
        <f aca="false">IF($F745="","",ROW()-2)</f>
        <v/>
      </c>
      <c r="B745" s="19"/>
      <c r="C745" s="20"/>
      <c r="D745" s="21"/>
      <c r="E745" s="21"/>
      <c r="F745" s="21"/>
      <c r="G745" s="20"/>
      <c r="H745" s="21"/>
      <c r="I745" s="20"/>
      <c r="J745" s="20"/>
      <c r="K745" s="21"/>
      <c r="L745" s="21"/>
      <c r="M745" s="22" t="str">
        <f aca="false">IF($B745="","",$B745+2)</f>
        <v/>
      </c>
      <c r="N745" s="20"/>
      <c r="O745" s="22" t="str">
        <f aca="false">IF($B745="","",$B745+5)</f>
        <v/>
      </c>
      <c r="P745" s="20"/>
      <c r="Q745" s="22" t="str">
        <f aca="false">IF($B745="","",$B745+10)</f>
        <v/>
      </c>
      <c r="R745" s="20"/>
      <c r="S745" s="23" t="str">
        <f aca="true">IF($B745="","",IF(AND($N745="Y",$P745="Y",$R745="Y"),"Done",IF(OR(AND($M745&lt;=TODAY(),$N745&lt;&gt;"Y"),AND($O745&lt;=TODAY(),$P745&lt;&gt;"Y"),AND($Q745&lt;=TODAY(),$R745&lt;&gt;"Y")),"DUE","Scheduled")))</f>
        <v/>
      </c>
      <c r="T745" s="20"/>
      <c r="U745" s="23" t="str">
        <f aca="false">IF($B745="","",IF(OR($T745&lt;=2,$I745="Editorial"),"REDO",""))</f>
        <v/>
      </c>
      <c r="V745" s="18" t="str">
        <f aca="false">IF($S745&lt;&gt;"DUE","",COUNTIF($S$3:$S745,"DUE"))</f>
        <v/>
      </c>
    </row>
    <row r="746" customFormat="false" ht="15" hidden="false" customHeight="false" outlineLevel="0" collapsed="false">
      <c r="A746" s="12" t="str">
        <f aca="false">IF($F746="","",ROW()-2)</f>
        <v/>
      </c>
      <c r="B746" s="19"/>
      <c r="C746" s="20"/>
      <c r="D746" s="21"/>
      <c r="E746" s="21"/>
      <c r="F746" s="21"/>
      <c r="G746" s="20"/>
      <c r="H746" s="21"/>
      <c r="I746" s="20"/>
      <c r="J746" s="20"/>
      <c r="K746" s="21"/>
      <c r="L746" s="21"/>
      <c r="M746" s="22" t="str">
        <f aca="false">IF($B746="","",$B746+2)</f>
        <v/>
      </c>
      <c r="N746" s="20"/>
      <c r="O746" s="22" t="str">
        <f aca="false">IF($B746="","",$B746+5)</f>
        <v/>
      </c>
      <c r="P746" s="20"/>
      <c r="Q746" s="22" t="str">
        <f aca="false">IF($B746="","",$B746+10)</f>
        <v/>
      </c>
      <c r="R746" s="20"/>
      <c r="S746" s="23" t="str">
        <f aca="true">IF($B746="","",IF(AND($N746="Y",$P746="Y",$R746="Y"),"Done",IF(OR(AND($M746&lt;=TODAY(),$N746&lt;&gt;"Y"),AND($O746&lt;=TODAY(),$P746&lt;&gt;"Y"),AND($Q746&lt;=TODAY(),$R746&lt;&gt;"Y")),"DUE","Scheduled")))</f>
        <v/>
      </c>
      <c r="T746" s="20"/>
      <c r="U746" s="23" t="str">
        <f aca="false">IF($B746="","",IF(OR($T746&lt;=2,$I746="Editorial"),"REDO",""))</f>
        <v/>
      </c>
      <c r="V746" s="18" t="str">
        <f aca="false">IF($S746&lt;&gt;"DUE","",COUNTIF($S$3:$S746,"DUE"))</f>
        <v/>
      </c>
    </row>
    <row r="747" customFormat="false" ht="15" hidden="false" customHeight="false" outlineLevel="0" collapsed="false">
      <c r="A747" s="12" t="str">
        <f aca="false">IF($F747="","",ROW()-2)</f>
        <v/>
      </c>
      <c r="B747" s="19"/>
      <c r="C747" s="20"/>
      <c r="D747" s="21"/>
      <c r="E747" s="21"/>
      <c r="F747" s="21"/>
      <c r="G747" s="20"/>
      <c r="H747" s="21"/>
      <c r="I747" s="20"/>
      <c r="J747" s="20"/>
      <c r="K747" s="21"/>
      <c r="L747" s="21"/>
      <c r="M747" s="22" t="str">
        <f aca="false">IF($B747="","",$B747+2)</f>
        <v/>
      </c>
      <c r="N747" s="20"/>
      <c r="O747" s="22" t="str">
        <f aca="false">IF($B747="","",$B747+5)</f>
        <v/>
      </c>
      <c r="P747" s="20"/>
      <c r="Q747" s="22" t="str">
        <f aca="false">IF($B747="","",$B747+10)</f>
        <v/>
      </c>
      <c r="R747" s="20"/>
      <c r="S747" s="23" t="str">
        <f aca="true">IF($B747="","",IF(AND($N747="Y",$P747="Y",$R747="Y"),"Done",IF(OR(AND($M747&lt;=TODAY(),$N747&lt;&gt;"Y"),AND($O747&lt;=TODAY(),$P747&lt;&gt;"Y"),AND($Q747&lt;=TODAY(),$R747&lt;&gt;"Y")),"DUE","Scheduled")))</f>
        <v/>
      </c>
      <c r="T747" s="20"/>
      <c r="U747" s="23" t="str">
        <f aca="false">IF($B747="","",IF(OR($T747&lt;=2,$I747="Editorial"),"REDO",""))</f>
        <v/>
      </c>
      <c r="V747" s="18" t="str">
        <f aca="false">IF($S747&lt;&gt;"DUE","",COUNTIF($S$3:$S747,"DUE"))</f>
        <v/>
      </c>
    </row>
    <row r="748" customFormat="false" ht="15" hidden="false" customHeight="false" outlineLevel="0" collapsed="false">
      <c r="A748" s="12" t="str">
        <f aca="false">IF($F748="","",ROW()-2)</f>
        <v/>
      </c>
      <c r="B748" s="19"/>
      <c r="C748" s="20"/>
      <c r="D748" s="21"/>
      <c r="E748" s="21"/>
      <c r="F748" s="21"/>
      <c r="G748" s="20"/>
      <c r="H748" s="21"/>
      <c r="I748" s="20"/>
      <c r="J748" s="20"/>
      <c r="K748" s="21"/>
      <c r="L748" s="21"/>
      <c r="M748" s="22" t="str">
        <f aca="false">IF($B748="","",$B748+2)</f>
        <v/>
      </c>
      <c r="N748" s="20"/>
      <c r="O748" s="22" t="str">
        <f aca="false">IF($B748="","",$B748+5)</f>
        <v/>
      </c>
      <c r="P748" s="20"/>
      <c r="Q748" s="22" t="str">
        <f aca="false">IF($B748="","",$B748+10)</f>
        <v/>
      </c>
      <c r="R748" s="20"/>
      <c r="S748" s="23" t="str">
        <f aca="true">IF($B748="","",IF(AND($N748="Y",$P748="Y",$R748="Y"),"Done",IF(OR(AND($M748&lt;=TODAY(),$N748&lt;&gt;"Y"),AND($O748&lt;=TODAY(),$P748&lt;&gt;"Y"),AND($Q748&lt;=TODAY(),$R748&lt;&gt;"Y")),"DUE","Scheduled")))</f>
        <v/>
      </c>
      <c r="T748" s="20"/>
      <c r="U748" s="23" t="str">
        <f aca="false">IF($B748="","",IF(OR($T748&lt;=2,$I748="Editorial"),"REDO",""))</f>
        <v/>
      </c>
      <c r="V748" s="18" t="str">
        <f aca="false">IF($S748&lt;&gt;"DUE","",COUNTIF($S$3:$S748,"DUE"))</f>
        <v/>
      </c>
    </row>
    <row r="749" customFormat="false" ht="15" hidden="false" customHeight="false" outlineLevel="0" collapsed="false">
      <c r="A749" s="12" t="str">
        <f aca="false">IF($F749="","",ROW()-2)</f>
        <v/>
      </c>
      <c r="B749" s="19"/>
      <c r="C749" s="20"/>
      <c r="D749" s="21"/>
      <c r="E749" s="21"/>
      <c r="F749" s="21"/>
      <c r="G749" s="20"/>
      <c r="H749" s="21"/>
      <c r="I749" s="20"/>
      <c r="J749" s="20"/>
      <c r="K749" s="21"/>
      <c r="L749" s="21"/>
      <c r="M749" s="22" t="str">
        <f aca="false">IF($B749="","",$B749+2)</f>
        <v/>
      </c>
      <c r="N749" s="20"/>
      <c r="O749" s="22" t="str">
        <f aca="false">IF($B749="","",$B749+5)</f>
        <v/>
      </c>
      <c r="P749" s="20"/>
      <c r="Q749" s="22" t="str">
        <f aca="false">IF($B749="","",$B749+10)</f>
        <v/>
      </c>
      <c r="R749" s="20"/>
      <c r="S749" s="23" t="str">
        <f aca="true">IF($B749="","",IF(AND($N749="Y",$P749="Y",$R749="Y"),"Done",IF(OR(AND($M749&lt;=TODAY(),$N749&lt;&gt;"Y"),AND($O749&lt;=TODAY(),$P749&lt;&gt;"Y"),AND($Q749&lt;=TODAY(),$R749&lt;&gt;"Y")),"DUE","Scheduled")))</f>
        <v/>
      </c>
      <c r="T749" s="20"/>
      <c r="U749" s="23" t="str">
        <f aca="false">IF($B749="","",IF(OR($T749&lt;=2,$I749="Editorial"),"REDO",""))</f>
        <v/>
      </c>
      <c r="V749" s="18" t="str">
        <f aca="false">IF($S749&lt;&gt;"DUE","",COUNTIF($S$3:$S749,"DUE"))</f>
        <v/>
      </c>
    </row>
    <row r="750" customFormat="false" ht="15" hidden="false" customHeight="false" outlineLevel="0" collapsed="false">
      <c r="A750" s="12" t="str">
        <f aca="false">IF($F750="","",ROW()-2)</f>
        <v/>
      </c>
      <c r="B750" s="19"/>
      <c r="C750" s="20"/>
      <c r="D750" s="21"/>
      <c r="E750" s="21"/>
      <c r="F750" s="21"/>
      <c r="G750" s="20"/>
      <c r="H750" s="21"/>
      <c r="I750" s="20"/>
      <c r="J750" s="20"/>
      <c r="K750" s="21"/>
      <c r="L750" s="21"/>
      <c r="M750" s="22" t="str">
        <f aca="false">IF($B750="","",$B750+2)</f>
        <v/>
      </c>
      <c r="N750" s="20"/>
      <c r="O750" s="22" t="str">
        <f aca="false">IF($B750="","",$B750+5)</f>
        <v/>
      </c>
      <c r="P750" s="20"/>
      <c r="Q750" s="22" t="str">
        <f aca="false">IF($B750="","",$B750+10)</f>
        <v/>
      </c>
      <c r="R750" s="20"/>
      <c r="S750" s="23" t="str">
        <f aca="true">IF($B750="","",IF(AND($N750="Y",$P750="Y",$R750="Y"),"Done",IF(OR(AND($M750&lt;=TODAY(),$N750&lt;&gt;"Y"),AND($O750&lt;=TODAY(),$P750&lt;&gt;"Y"),AND($Q750&lt;=TODAY(),$R750&lt;&gt;"Y")),"DUE","Scheduled")))</f>
        <v/>
      </c>
      <c r="T750" s="20"/>
      <c r="U750" s="23" t="str">
        <f aca="false">IF($B750="","",IF(OR($T750&lt;=2,$I750="Editorial"),"REDO",""))</f>
        <v/>
      </c>
      <c r="V750" s="18" t="str">
        <f aca="false">IF($S750&lt;&gt;"DUE","",COUNTIF($S$3:$S750,"DUE"))</f>
        <v/>
      </c>
    </row>
    <row r="751" customFormat="false" ht="15" hidden="false" customHeight="false" outlineLevel="0" collapsed="false">
      <c r="A751" s="12" t="str">
        <f aca="false">IF($F751="","",ROW()-2)</f>
        <v/>
      </c>
      <c r="B751" s="19"/>
      <c r="C751" s="20"/>
      <c r="D751" s="21"/>
      <c r="E751" s="21"/>
      <c r="F751" s="21"/>
      <c r="G751" s="20"/>
      <c r="H751" s="21"/>
      <c r="I751" s="20"/>
      <c r="J751" s="20"/>
      <c r="K751" s="21"/>
      <c r="L751" s="21"/>
      <c r="M751" s="22" t="str">
        <f aca="false">IF($B751="","",$B751+2)</f>
        <v/>
      </c>
      <c r="N751" s="20"/>
      <c r="O751" s="22" t="str">
        <f aca="false">IF($B751="","",$B751+5)</f>
        <v/>
      </c>
      <c r="P751" s="20"/>
      <c r="Q751" s="22" t="str">
        <f aca="false">IF($B751="","",$B751+10)</f>
        <v/>
      </c>
      <c r="R751" s="20"/>
      <c r="S751" s="23" t="str">
        <f aca="true">IF($B751="","",IF(AND($N751="Y",$P751="Y",$R751="Y"),"Done",IF(OR(AND($M751&lt;=TODAY(),$N751&lt;&gt;"Y"),AND($O751&lt;=TODAY(),$P751&lt;&gt;"Y"),AND($Q751&lt;=TODAY(),$R751&lt;&gt;"Y")),"DUE","Scheduled")))</f>
        <v/>
      </c>
      <c r="T751" s="20"/>
      <c r="U751" s="23" t="str">
        <f aca="false">IF($B751="","",IF(OR($T751&lt;=2,$I751="Editorial"),"REDO",""))</f>
        <v/>
      </c>
      <c r="V751" s="18" t="str">
        <f aca="false">IF($S751&lt;&gt;"DUE","",COUNTIF($S$3:$S751,"DUE"))</f>
        <v/>
      </c>
    </row>
    <row r="752" customFormat="false" ht="15" hidden="false" customHeight="false" outlineLevel="0" collapsed="false">
      <c r="A752" s="12" t="str">
        <f aca="false">IF($F752="","",ROW()-2)</f>
        <v/>
      </c>
      <c r="B752" s="19"/>
      <c r="C752" s="20"/>
      <c r="D752" s="21"/>
      <c r="E752" s="21"/>
      <c r="F752" s="21"/>
      <c r="G752" s="20"/>
      <c r="H752" s="21"/>
      <c r="I752" s="20"/>
      <c r="J752" s="20"/>
      <c r="K752" s="21"/>
      <c r="L752" s="21"/>
      <c r="M752" s="22" t="str">
        <f aca="false">IF($B752="","",$B752+2)</f>
        <v/>
      </c>
      <c r="N752" s="20"/>
      <c r="O752" s="22" t="str">
        <f aca="false">IF($B752="","",$B752+5)</f>
        <v/>
      </c>
      <c r="P752" s="20"/>
      <c r="Q752" s="22" t="str">
        <f aca="false">IF($B752="","",$B752+10)</f>
        <v/>
      </c>
      <c r="R752" s="20"/>
      <c r="S752" s="23" t="str">
        <f aca="true">IF($B752="","",IF(AND($N752="Y",$P752="Y",$R752="Y"),"Done",IF(OR(AND($M752&lt;=TODAY(),$N752&lt;&gt;"Y"),AND($O752&lt;=TODAY(),$P752&lt;&gt;"Y"),AND($Q752&lt;=TODAY(),$R752&lt;&gt;"Y")),"DUE","Scheduled")))</f>
        <v/>
      </c>
      <c r="T752" s="20"/>
      <c r="U752" s="23" t="str">
        <f aca="false">IF($B752="","",IF(OR($T752&lt;=2,$I752="Editorial"),"REDO",""))</f>
        <v/>
      </c>
      <c r="V752" s="18" t="str">
        <f aca="false">IF($S752&lt;&gt;"DUE","",COUNTIF($S$3:$S752,"DUE"))</f>
        <v/>
      </c>
    </row>
    <row r="753" customFormat="false" ht="15" hidden="false" customHeight="false" outlineLevel="0" collapsed="false">
      <c r="A753" s="12" t="str">
        <f aca="false">IF($F753="","",ROW()-2)</f>
        <v/>
      </c>
      <c r="B753" s="19"/>
      <c r="C753" s="20"/>
      <c r="D753" s="21"/>
      <c r="E753" s="21"/>
      <c r="F753" s="21"/>
      <c r="G753" s="20"/>
      <c r="H753" s="21"/>
      <c r="I753" s="20"/>
      <c r="J753" s="20"/>
      <c r="K753" s="21"/>
      <c r="L753" s="21"/>
      <c r="M753" s="22" t="str">
        <f aca="false">IF($B753="","",$B753+2)</f>
        <v/>
      </c>
      <c r="N753" s="20"/>
      <c r="O753" s="22" t="str">
        <f aca="false">IF($B753="","",$B753+5)</f>
        <v/>
      </c>
      <c r="P753" s="20"/>
      <c r="Q753" s="22" t="str">
        <f aca="false">IF($B753="","",$B753+10)</f>
        <v/>
      </c>
      <c r="R753" s="20"/>
      <c r="S753" s="23" t="str">
        <f aca="true">IF($B753="","",IF(AND($N753="Y",$P753="Y",$R753="Y"),"Done",IF(OR(AND($M753&lt;=TODAY(),$N753&lt;&gt;"Y"),AND($O753&lt;=TODAY(),$P753&lt;&gt;"Y"),AND($Q753&lt;=TODAY(),$R753&lt;&gt;"Y")),"DUE","Scheduled")))</f>
        <v/>
      </c>
      <c r="T753" s="20"/>
      <c r="U753" s="23" t="str">
        <f aca="false">IF($B753="","",IF(OR($T753&lt;=2,$I753="Editorial"),"REDO",""))</f>
        <v/>
      </c>
      <c r="V753" s="18" t="str">
        <f aca="false">IF($S753&lt;&gt;"DUE","",COUNTIF($S$3:$S753,"DUE"))</f>
        <v/>
      </c>
    </row>
    <row r="754" customFormat="false" ht="15" hidden="false" customHeight="false" outlineLevel="0" collapsed="false">
      <c r="A754" s="12" t="str">
        <f aca="false">IF($F754="","",ROW()-2)</f>
        <v/>
      </c>
      <c r="B754" s="19"/>
      <c r="C754" s="20"/>
      <c r="D754" s="21"/>
      <c r="E754" s="21"/>
      <c r="F754" s="21"/>
      <c r="G754" s="20"/>
      <c r="H754" s="21"/>
      <c r="I754" s="20"/>
      <c r="J754" s="20"/>
      <c r="K754" s="21"/>
      <c r="L754" s="21"/>
      <c r="M754" s="22" t="str">
        <f aca="false">IF($B754="","",$B754+2)</f>
        <v/>
      </c>
      <c r="N754" s="20"/>
      <c r="O754" s="22" t="str">
        <f aca="false">IF($B754="","",$B754+5)</f>
        <v/>
      </c>
      <c r="P754" s="20"/>
      <c r="Q754" s="22" t="str">
        <f aca="false">IF($B754="","",$B754+10)</f>
        <v/>
      </c>
      <c r="R754" s="20"/>
      <c r="S754" s="23" t="str">
        <f aca="true">IF($B754="","",IF(AND($N754="Y",$P754="Y",$R754="Y"),"Done",IF(OR(AND($M754&lt;=TODAY(),$N754&lt;&gt;"Y"),AND($O754&lt;=TODAY(),$P754&lt;&gt;"Y"),AND($Q754&lt;=TODAY(),$R754&lt;&gt;"Y")),"DUE","Scheduled")))</f>
        <v/>
      </c>
      <c r="T754" s="20"/>
      <c r="U754" s="23" t="str">
        <f aca="false">IF($B754="","",IF(OR($T754&lt;=2,$I754="Editorial"),"REDO",""))</f>
        <v/>
      </c>
      <c r="V754" s="18" t="str">
        <f aca="false">IF($S754&lt;&gt;"DUE","",COUNTIF($S$3:$S754,"DUE"))</f>
        <v/>
      </c>
    </row>
    <row r="755" customFormat="false" ht="15" hidden="false" customHeight="false" outlineLevel="0" collapsed="false">
      <c r="A755" s="12" t="str">
        <f aca="false">IF($F755="","",ROW()-2)</f>
        <v/>
      </c>
      <c r="B755" s="19"/>
      <c r="C755" s="20"/>
      <c r="D755" s="21"/>
      <c r="E755" s="21"/>
      <c r="F755" s="21"/>
      <c r="G755" s="20"/>
      <c r="H755" s="21"/>
      <c r="I755" s="20"/>
      <c r="J755" s="20"/>
      <c r="K755" s="21"/>
      <c r="L755" s="21"/>
      <c r="M755" s="22" t="str">
        <f aca="false">IF($B755="","",$B755+2)</f>
        <v/>
      </c>
      <c r="N755" s="20"/>
      <c r="O755" s="22" t="str">
        <f aca="false">IF($B755="","",$B755+5)</f>
        <v/>
      </c>
      <c r="P755" s="20"/>
      <c r="Q755" s="22" t="str">
        <f aca="false">IF($B755="","",$B755+10)</f>
        <v/>
      </c>
      <c r="R755" s="20"/>
      <c r="S755" s="23" t="str">
        <f aca="true">IF($B755="","",IF(AND($N755="Y",$P755="Y",$R755="Y"),"Done",IF(OR(AND($M755&lt;=TODAY(),$N755&lt;&gt;"Y"),AND($O755&lt;=TODAY(),$P755&lt;&gt;"Y"),AND($Q755&lt;=TODAY(),$R755&lt;&gt;"Y")),"DUE","Scheduled")))</f>
        <v/>
      </c>
      <c r="T755" s="20"/>
      <c r="U755" s="23" t="str">
        <f aca="false">IF($B755="","",IF(OR($T755&lt;=2,$I755="Editorial"),"REDO",""))</f>
        <v/>
      </c>
      <c r="V755" s="18" t="str">
        <f aca="false">IF($S755&lt;&gt;"DUE","",COUNTIF($S$3:$S755,"DUE"))</f>
        <v/>
      </c>
    </row>
    <row r="756" customFormat="false" ht="15" hidden="false" customHeight="false" outlineLevel="0" collapsed="false">
      <c r="A756" s="12" t="str">
        <f aca="false">IF($F756="","",ROW()-2)</f>
        <v/>
      </c>
      <c r="B756" s="19"/>
      <c r="C756" s="20"/>
      <c r="D756" s="21"/>
      <c r="E756" s="21"/>
      <c r="F756" s="21"/>
      <c r="G756" s="20"/>
      <c r="H756" s="21"/>
      <c r="I756" s="20"/>
      <c r="J756" s="20"/>
      <c r="K756" s="21"/>
      <c r="L756" s="21"/>
      <c r="M756" s="22" t="str">
        <f aca="false">IF($B756="","",$B756+2)</f>
        <v/>
      </c>
      <c r="N756" s="20"/>
      <c r="O756" s="22" t="str">
        <f aca="false">IF($B756="","",$B756+5)</f>
        <v/>
      </c>
      <c r="P756" s="20"/>
      <c r="Q756" s="22" t="str">
        <f aca="false">IF($B756="","",$B756+10)</f>
        <v/>
      </c>
      <c r="R756" s="20"/>
      <c r="S756" s="23" t="str">
        <f aca="true">IF($B756="","",IF(AND($N756="Y",$P756="Y",$R756="Y"),"Done",IF(OR(AND($M756&lt;=TODAY(),$N756&lt;&gt;"Y"),AND($O756&lt;=TODAY(),$P756&lt;&gt;"Y"),AND($Q756&lt;=TODAY(),$R756&lt;&gt;"Y")),"DUE","Scheduled")))</f>
        <v/>
      </c>
      <c r="T756" s="20"/>
      <c r="U756" s="23" t="str">
        <f aca="false">IF($B756="","",IF(OR($T756&lt;=2,$I756="Editorial"),"REDO",""))</f>
        <v/>
      </c>
      <c r="V756" s="18" t="str">
        <f aca="false">IF($S756&lt;&gt;"DUE","",COUNTIF($S$3:$S756,"DUE"))</f>
        <v/>
      </c>
    </row>
    <row r="757" customFormat="false" ht="15" hidden="false" customHeight="false" outlineLevel="0" collapsed="false">
      <c r="A757" s="12" t="str">
        <f aca="false">IF($F757="","",ROW()-2)</f>
        <v/>
      </c>
      <c r="B757" s="19"/>
      <c r="C757" s="20"/>
      <c r="D757" s="21"/>
      <c r="E757" s="21"/>
      <c r="F757" s="21"/>
      <c r="G757" s="20"/>
      <c r="H757" s="21"/>
      <c r="I757" s="20"/>
      <c r="J757" s="20"/>
      <c r="K757" s="21"/>
      <c r="L757" s="21"/>
      <c r="M757" s="22" t="str">
        <f aca="false">IF($B757="","",$B757+2)</f>
        <v/>
      </c>
      <c r="N757" s="20"/>
      <c r="O757" s="22" t="str">
        <f aca="false">IF($B757="","",$B757+5)</f>
        <v/>
      </c>
      <c r="P757" s="20"/>
      <c r="Q757" s="22" t="str">
        <f aca="false">IF($B757="","",$B757+10)</f>
        <v/>
      </c>
      <c r="R757" s="20"/>
      <c r="S757" s="23" t="str">
        <f aca="true">IF($B757="","",IF(AND($N757="Y",$P757="Y",$R757="Y"),"Done",IF(OR(AND($M757&lt;=TODAY(),$N757&lt;&gt;"Y"),AND($O757&lt;=TODAY(),$P757&lt;&gt;"Y"),AND($Q757&lt;=TODAY(),$R757&lt;&gt;"Y")),"DUE","Scheduled")))</f>
        <v/>
      </c>
      <c r="T757" s="20"/>
      <c r="U757" s="23" t="str">
        <f aca="false">IF($B757="","",IF(OR($T757&lt;=2,$I757="Editorial"),"REDO",""))</f>
        <v/>
      </c>
      <c r="V757" s="18" t="str">
        <f aca="false">IF($S757&lt;&gt;"DUE","",COUNTIF($S$3:$S757,"DUE"))</f>
        <v/>
      </c>
    </row>
    <row r="758" customFormat="false" ht="15" hidden="false" customHeight="false" outlineLevel="0" collapsed="false">
      <c r="A758" s="12" t="str">
        <f aca="false">IF($F758="","",ROW()-2)</f>
        <v/>
      </c>
      <c r="B758" s="19"/>
      <c r="C758" s="20"/>
      <c r="D758" s="21"/>
      <c r="E758" s="21"/>
      <c r="F758" s="21"/>
      <c r="G758" s="20"/>
      <c r="H758" s="21"/>
      <c r="I758" s="20"/>
      <c r="J758" s="20"/>
      <c r="K758" s="21"/>
      <c r="L758" s="21"/>
      <c r="M758" s="22" t="str">
        <f aca="false">IF($B758="","",$B758+2)</f>
        <v/>
      </c>
      <c r="N758" s="20"/>
      <c r="O758" s="22" t="str">
        <f aca="false">IF($B758="","",$B758+5)</f>
        <v/>
      </c>
      <c r="P758" s="20"/>
      <c r="Q758" s="22" t="str">
        <f aca="false">IF($B758="","",$B758+10)</f>
        <v/>
      </c>
      <c r="R758" s="20"/>
      <c r="S758" s="23" t="str">
        <f aca="true">IF($B758="","",IF(AND($N758="Y",$P758="Y",$R758="Y"),"Done",IF(OR(AND($M758&lt;=TODAY(),$N758&lt;&gt;"Y"),AND($O758&lt;=TODAY(),$P758&lt;&gt;"Y"),AND($Q758&lt;=TODAY(),$R758&lt;&gt;"Y")),"DUE","Scheduled")))</f>
        <v/>
      </c>
      <c r="T758" s="20"/>
      <c r="U758" s="23" t="str">
        <f aca="false">IF($B758="","",IF(OR($T758&lt;=2,$I758="Editorial"),"REDO",""))</f>
        <v/>
      </c>
      <c r="V758" s="18" t="str">
        <f aca="false">IF($S758&lt;&gt;"DUE","",COUNTIF($S$3:$S758,"DUE"))</f>
        <v/>
      </c>
    </row>
    <row r="759" customFormat="false" ht="15" hidden="false" customHeight="false" outlineLevel="0" collapsed="false">
      <c r="A759" s="12" t="str">
        <f aca="false">IF($F759="","",ROW()-2)</f>
        <v/>
      </c>
      <c r="B759" s="19"/>
      <c r="C759" s="20"/>
      <c r="D759" s="21"/>
      <c r="E759" s="21"/>
      <c r="F759" s="21"/>
      <c r="G759" s="20"/>
      <c r="H759" s="21"/>
      <c r="I759" s="20"/>
      <c r="J759" s="20"/>
      <c r="K759" s="21"/>
      <c r="L759" s="21"/>
      <c r="M759" s="22" t="str">
        <f aca="false">IF($B759="","",$B759+2)</f>
        <v/>
      </c>
      <c r="N759" s="20"/>
      <c r="O759" s="22" t="str">
        <f aca="false">IF($B759="","",$B759+5)</f>
        <v/>
      </c>
      <c r="P759" s="20"/>
      <c r="Q759" s="22" t="str">
        <f aca="false">IF($B759="","",$B759+10)</f>
        <v/>
      </c>
      <c r="R759" s="20"/>
      <c r="S759" s="23" t="str">
        <f aca="true">IF($B759="","",IF(AND($N759="Y",$P759="Y",$R759="Y"),"Done",IF(OR(AND($M759&lt;=TODAY(),$N759&lt;&gt;"Y"),AND($O759&lt;=TODAY(),$P759&lt;&gt;"Y"),AND($Q759&lt;=TODAY(),$R759&lt;&gt;"Y")),"DUE","Scheduled")))</f>
        <v/>
      </c>
      <c r="T759" s="20"/>
      <c r="U759" s="23" t="str">
        <f aca="false">IF($B759="","",IF(OR($T759&lt;=2,$I759="Editorial"),"REDO",""))</f>
        <v/>
      </c>
      <c r="V759" s="18" t="str">
        <f aca="false">IF($S759&lt;&gt;"DUE","",COUNTIF($S$3:$S759,"DUE"))</f>
        <v/>
      </c>
    </row>
    <row r="760" customFormat="false" ht="15" hidden="false" customHeight="false" outlineLevel="0" collapsed="false">
      <c r="A760" s="12" t="str">
        <f aca="false">IF($F760="","",ROW()-2)</f>
        <v/>
      </c>
      <c r="B760" s="19"/>
      <c r="C760" s="20"/>
      <c r="D760" s="21"/>
      <c r="E760" s="21"/>
      <c r="F760" s="21"/>
      <c r="G760" s="20"/>
      <c r="H760" s="21"/>
      <c r="I760" s="20"/>
      <c r="J760" s="20"/>
      <c r="K760" s="21"/>
      <c r="L760" s="21"/>
      <c r="M760" s="22" t="str">
        <f aca="false">IF($B760="","",$B760+2)</f>
        <v/>
      </c>
      <c r="N760" s="20"/>
      <c r="O760" s="22" t="str">
        <f aca="false">IF($B760="","",$B760+5)</f>
        <v/>
      </c>
      <c r="P760" s="20"/>
      <c r="Q760" s="22" t="str">
        <f aca="false">IF($B760="","",$B760+10)</f>
        <v/>
      </c>
      <c r="R760" s="20"/>
      <c r="S760" s="23" t="str">
        <f aca="true">IF($B760="","",IF(AND($N760="Y",$P760="Y",$R760="Y"),"Done",IF(OR(AND($M760&lt;=TODAY(),$N760&lt;&gt;"Y"),AND($O760&lt;=TODAY(),$P760&lt;&gt;"Y"),AND($Q760&lt;=TODAY(),$R760&lt;&gt;"Y")),"DUE","Scheduled")))</f>
        <v/>
      </c>
      <c r="T760" s="20"/>
      <c r="U760" s="23" t="str">
        <f aca="false">IF($B760="","",IF(OR($T760&lt;=2,$I760="Editorial"),"REDO",""))</f>
        <v/>
      </c>
      <c r="V760" s="18" t="str">
        <f aca="false">IF($S760&lt;&gt;"DUE","",COUNTIF($S$3:$S760,"DUE"))</f>
        <v/>
      </c>
    </row>
    <row r="761" customFormat="false" ht="15" hidden="false" customHeight="false" outlineLevel="0" collapsed="false">
      <c r="A761" s="12" t="str">
        <f aca="false">IF($F761="","",ROW()-2)</f>
        <v/>
      </c>
      <c r="B761" s="19"/>
      <c r="C761" s="20"/>
      <c r="D761" s="21"/>
      <c r="E761" s="21"/>
      <c r="F761" s="21"/>
      <c r="G761" s="20"/>
      <c r="H761" s="21"/>
      <c r="I761" s="20"/>
      <c r="J761" s="20"/>
      <c r="K761" s="21"/>
      <c r="L761" s="21"/>
      <c r="M761" s="22" t="str">
        <f aca="false">IF($B761="","",$B761+2)</f>
        <v/>
      </c>
      <c r="N761" s="20"/>
      <c r="O761" s="22" t="str">
        <f aca="false">IF($B761="","",$B761+5)</f>
        <v/>
      </c>
      <c r="P761" s="20"/>
      <c r="Q761" s="22" t="str">
        <f aca="false">IF($B761="","",$B761+10)</f>
        <v/>
      </c>
      <c r="R761" s="20"/>
      <c r="S761" s="23" t="str">
        <f aca="true">IF($B761="","",IF(AND($N761="Y",$P761="Y",$R761="Y"),"Done",IF(OR(AND($M761&lt;=TODAY(),$N761&lt;&gt;"Y"),AND($O761&lt;=TODAY(),$P761&lt;&gt;"Y"),AND($Q761&lt;=TODAY(),$R761&lt;&gt;"Y")),"DUE","Scheduled")))</f>
        <v/>
      </c>
      <c r="T761" s="20"/>
      <c r="U761" s="23" t="str">
        <f aca="false">IF($B761="","",IF(OR($T761&lt;=2,$I761="Editorial"),"REDO",""))</f>
        <v/>
      </c>
      <c r="V761" s="18" t="str">
        <f aca="false">IF($S761&lt;&gt;"DUE","",COUNTIF($S$3:$S761,"DUE"))</f>
        <v/>
      </c>
    </row>
    <row r="762" customFormat="false" ht="15" hidden="false" customHeight="false" outlineLevel="0" collapsed="false">
      <c r="A762" s="12" t="str">
        <f aca="false">IF($F762="","",ROW()-2)</f>
        <v/>
      </c>
      <c r="B762" s="19"/>
      <c r="C762" s="20"/>
      <c r="D762" s="21"/>
      <c r="E762" s="21"/>
      <c r="F762" s="21"/>
      <c r="G762" s="20"/>
      <c r="H762" s="21"/>
      <c r="I762" s="20"/>
      <c r="J762" s="20"/>
      <c r="K762" s="21"/>
      <c r="L762" s="21"/>
      <c r="M762" s="22" t="str">
        <f aca="false">IF($B762="","",$B762+2)</f>
        <v/>
      </c>
      <c r="N762" s="20"/>
      <c r="O762" s="22" t="str">
        <f aca="false">IF($B762="","",$B762+5)</f>
        <v/>
      </c>
      <c r="P762" s="20"/>
      <c r="Q762" s="22" t="str">
        <f aca="false">IF($B762="","",$B762+10)</f>
        <v/>
      </c>
      <c r="R762" s="20"/>
      <c r="S762" s="23" t="str">
        <f aca="true">IF($B762="","",IF(AND($N762="Y",$P762="Y",$R762="Y"),"Done",IF(OR(AND($M762&lt;=TODAY(),$N762&lt;&gt;"Y"),AND($O762&lt;=TODAY(),$P762&lt;&gt;"Y"),AND($Q762&lt;=TODAY(),$R762&lt;&gt;"Y")),"DUE","Scheduled")))</f>
        <v/>
      </c>
      <c r="T762" s="20"/>
      <c r="U762" s="23" t="str">
        <f aca="false">IF($B762="","",IF(OR($T762&lt;=2,$I762="Editorial"),"REDO",""))</f>
        <v/>
      </c>
      <c r="V762" s="18" t="str">
        <f aca="false">IF($S762&lt;&gt;"DUE","",COUNTIF($S$3:$S762,"DUE"))</f>
        <v/>
      </c>
    </row>
    <row r="763" customFormat="false" ht="15" hidden="false" customHeight="false" outlineLevel="0" collapsed="false">
      <c r="A763" s="12" t="str">
        <f aca="false">IF($F763="","",ROW()-2)</f>
        <v/>
      </c>
      <c r="B763" s="19"/>
      <c r="C763" s="20"/>
      <c r="D763" s="21"/>
      <c r="E763" s="21"/>
      <c r="F763" s="21"/>
      <c r="G763" s="20"/>
      <c r="H763" s="21"/>
      <c r="I763" s="20"/>
      <c r="J763" s="20"/>
      <c r="K763" s="21"/>
      <c r="L763" s="21"/>
      <c r="M763" s="22" t="str">
        <f aca="false">IF($B763="","",$B763+2)</f>
        <v/>
      </c>
      <c r="N763" s="20"/>
      <c r="O763" s="22" t="str">
        <f aca="false">IF($B763="","",$B763+5)</f>
        <v/>
      </c>
      <c r="P763" s="20"/>
      <c r="Q763" s="22" t="str">
        <f aca="false">IF($B763="","",$B763+10)</f>
        <v/>
      </c>
      <c r="R763" s="20"/>
      <c r="S763" s="23" t="str">
        <f aca="true">IF($B763="","",IF(AND($N763="Y",$P763="Y",$R763="Y"),"Done",IF(OR(AND($M763&lt;=TODAY(),$N763&lt;&gt;"Y"),AND($O763&lt;=TODAY(),$P763&lt;&gt;"Y"),AND($Q763&lt;=TODAY(),$R763&lt;&gt;"Y")),"DUE","Scheduled")))</f>
        <v/>
      </c>
      <c r="T763" s="20"/>
      <c r="U763" s="23" t="str">
        <f aca="false">IF($B763="","",IF(OR($T763&lt;=2,$I763="Editorial"),"REDO",""))</f>
        <v/>
      </c>
      <c r="V763" s="18" t="str">
        <f aca="false">IF($S763&lt;&gt;"DUE","",COUNTIF($S$3:$S763,"DUE"))</f>
        <v/>
      </c>
    </row>
    <row r="764" customFormat="false" ht="15" hidden="false" customHeight="false" outlineLevel="0" collapsed="false">
      <c r="A764" s="12" t="str">
        <f aca="false">IF($F764="","",ROW()-2)</f>
        <v/>
      </c>
      <c r="B764" s="19"/>
      <c r="C764" s="20"/>
      <c r="D764" s="21"/>
      <c r="E764" s="21"/>
      <c r="F764" s="21"/>
      <c r="G764" s="20"/>
      <c r="H764" s="21"/>
      <c r="I764" s="20"/>
      <c r="J764" s="20"/>
      <c r="K764" s="21"/>
      <c r="L764" s="21"/>
      <c r="M764" s="22" t="str">
        <f aca="false">IF($B764="","",$B764+2)</f>
        <v/>
      </c>
      <c r="N764" s="20"/>
      <c r="O764" s="22" t="str">
        <f aca="false">IF($B764="","",$B764+5)</f>
        <v/>
      </c>
      <c r="P764" s="20"/>
      <c r="Q764" s="22" t="str">
        <f aca="false">IF($B764="","",$B764+10)</f>
        <v/>
      </c>
      <c r="R764" s="20"/>
      <c r="S764" s="23" t="str">
        <f aca="true">IF($B764="","",IF(AND($N764="Y",$P764="Y",$R764="Y"),"Done",IF(OR(AND($M764&lt;=TODAY(),$N764&lt;&gt;"Y"),AND($O764&lt;=TODAY(),$P764&lt;&gt;"Y"),AND($Q764&lt;=TODAY(),$R764&lt;&gt;"Y")),"DUE","Scheduled")))</f>
        <v/>
      </c>
      <c r="T764" s="20"/>
      <c r="U764" s="23" t="str">
        <f aca="false">IF($B764="","",IF(OR($T764&lt;=2,$I764="Editorial"),"REDO",""))</f>
        <v/>
      </c>
      <c r="V764" s="18" t="str">
        <f aca="false">IF($S764&lt;&gt;"DUE","",COUNTIF($S$3:$S764,"DUE"))</f>
        <v/>
      </c>
    </row>
    <row r="765" customFormat="false" ht="15" hidden="false" customHeight="false" outlineLevel="0" collapsed="false">
      <c r="A765" s="12" t="str">
        <f aca="false">IF($F765="","",ROW()-2)</f>
        <v/>
      </c>
      <c r="B765" s="19"/>
      <c r="C765" s="20"/>
      <c r="D765" s="21"/>
      <c r="E765" s="21"/>
      <c r="F765" s="21"/>
      <c r="G765" s="20"/>
      <c r="H765" s="21"/>
      <c r="I765" s="20"/>
      <c r="J765" s="20"/>
      <c r="K765" s="21"/>
      <c r="L765" s="21"/>
      <c r="M765" s="22" t="str">
        <f aca="false">IF($B765="","",$B765+2)</f>
        <v/>
      </c>
      <c r="N765" s="20"/>
      <c r="O765" s="22" t="str">
        <f aca="false">IF($B765="","",$B765+5)</f>
        <v/>
      </c>
      <c r="P765" s="20"/>
      <c r="Q765" s="22" t="str">
        <f aca="false">IF($B765="","",$B765+10)</f>
        <v/>
      </c>
      <c r="R765" s="20"/>
      <c r="S765" s="23" t="str">
        <f aca="true">IF($B765="","",IF(AND($N765="Y",$P765="Y",$R765="Y"),"Done",IF(OR(AND($M765&lt;=TODAY(),$N765&lt;&gt;"Y"),AND($O765&lt;=TODAY(),$P765&lt;&gt;"Y"),AND($Q765&lt;=TODAY(),$R765&lt;&gt;"Y")),"DUE","Scheduled")))</f>
        <v/>
      </c>
      <c r="T765" s="20"/>
      <c r="U765" s="23" t="str">
        <f aca="false">IF($B765="","",IF(OR($T765&lt;=2,$I765="Editorial"),"REDO",""))</f>
        <v/>
      </c>
      <c r="V765" s="18" t="str">
        <f aca="false">IF($S765&lt;&gt;"DUE","",COUNTIF($S$3:$S765,"DUE"))</f>
        <v/>
      </c>
    </row>
    <row r="766" customFormat="false" ht="15" hidden="false" customHeight="false" outlineLevel="0" collapsed="false">
      <c r="A766" s="12" t="str">
        <f aca="false">IF($F766="","",ROW()-2)</f>
        <v/>
      </c>
      <c r="B766" s="19"/>
      <c r="C766" s="20"/>
      <c r="D766" s="21"/>
      <c r="E766" s="21"/>
      <c r="F766" s="21"/>
      <c r="G766" s="20"/>
      <c r="H766" s="21"/>
      <c r="I766" s="20"/>
      <c r="J766" s="20"/>
      <c r="K766" s="21"/>
      <c r="L766" s="21"/>
      <c r="M766" s="22" t="str">
        <f aca="false">IF($B766="","",$B766+2)</f>
        <v/>
      </c>
      <c r="N766" s="20"/>
      <c r="O766" s="22" t="str">
        <f aca="false">IF($B766="","",$B766+5)</f>
        <v/>
      </c>
      <c r="P766" s="20"/>
      <c r="Q766" s="22" t="str">
        <f aca="false">IF($B766="","",$B766+10)</f>
        <v/>
      </c>
      <c r="R766" s="20"/>
      <c r="S766" s="23" t="str">
        <f aca="true">IF($B766="","",IF(AND($N766="Y",$P766="Y",$R766="Y"),"Done",IF(OR(AND($M766&lt;=TODAY(),$N766&lt;&gt;"Y"),AND($O766&lt;=TODAY(),$P766&lt;&gt;"Y"),AND($Q766&lt;=TODAY(),$R766&lt;&gt;"Y")),"DUE","Scheduled")))</f>
        <v/>
      </c>
      <c r="T766" s="20"/>
      <c r="U766" s="23" t="str">
        <f aca="false">IF($B766="","",IF(OR($T766&lt;=2,$I766="Editorial"),"REDO",""))</f>
        <v/>
      </c>
      <c r="V766" s="18" t="str">
        <f aca="false">IF($S766&lt;&gt;"DUE","",COUNTIF($S$3:$S766,"DUE"))</f>
        <v/>
      </c>
    </row>
    <row r="767" customFormat="false" ht="15" hidden="false" customHeight="false" outlineLevel="0" collapsed="false">
      <c r="A767" s="12" t="str">
        <f aca="false">IF($F767="","",ROW()-2)</f>
        <v/>
      </c>
      <c r="B767" s="19"/>
      <c r="C767" s="20"/>
      <c r="D767" s="21"/>
      <c r="E767" s="21"/>
      <c r="F767" s="21"/>
      <c r="G767" s="20"/>
      <c r="H767" s="21"/>
      <c r="I767" s="20"/>
      <c r="J767" s="20"/>
      <c r="K767" s="21"/>
      <c r="L767" s="21"/>
      <c r="M767" s="22" t="str">
        <f aca="false">IF($B767="","",$B767+2)</f>
        <v/>
      </c>
      <c r="N767" s="20"/>
      <c r="O767" s="22" t="str">
        <f aca="false">IF($B767="","",$B767+5)</f>
        <v/>
      </c>
      <c r="P767" s="20"/>
      <c r="Q767" s="22" t="str">
        <f aca="false">IF($B767="","",$B767+10)</f>
        <v/>
      </c>
      <c r="R767" s="20"/>
      <c r="S767" s="23" t="str">
        <f aca="true">IF($B767="","",IF(AND($N767="Y",$P767="Y",$R767="Y"),"Done",IF(OR(AND($M767&lt;=TODAY(),$N767&lt;&gt;"Y"),AND($O767&lt;=TODAY(),$P767&lt;&gt;"Y"),AND($Q767&lt;=TODAY(),$R767&lt;&gt;"Y")),"DUE","Scheduled")))</f>
        <v/>
      </c>
      <c r="T767" s="20"/>
      <c r="U767" s="23" t="str">
        <f aca="false">IF($B767="","",IF(OR($T767&lt;=2,$I767="Editorial"),"REDO",""))</f>
        <v/>
      </c>
      <c r="V767" s="18" t="str">
        <f aca="false">IF($S767&lt;&gt;"DUE","",COUNTIF($S$3:$S767,"DUE"))</f>
        <v/>
      </c>
    </row>
    <row r="768" customFormat="false" ht="15" hidden="false" customHeight="false" outlineLevel="0" collapsed="false">
      <c r="A768" s="12" t="str">
        <f aca="false">IF($F768="","",ROW()-2)</f>
        <v/>
      </c>
      <c r="B768" s="19"/>
      <c r="C768" s="20"/>
      <c r="D768" s="21"/>
      <c r="E768" s="21"/>
      <c r="F768" s="21"/>
      <c r="G768" s="20"/>
      <c r="H768" s="21"/>
      <c r="I768" s="20"/>
      <c r="J768" s="20"/>
      <c r="K768" s="21"/>
      <c r="L768" s="21"/>
      <c r="M768" s="22" t="str">
        <f aca="false">IF($B768="","",$B768+2)</f>
        <v/>
      </c>
      <c r="N768" s="20"/>
      <c r="O768" s="22" t="str">
        <f aca="false">IF($B768="","",$B768+5)</f>
        <v/>
      </c>
      <c r="P768" s="20"/>
      <c r="Q768" s="22" t="str">
        <f aca="false">IF($B768="","",$B768+10)</f>
        <v/>
      </c>
      <c r="R768" s="20"/>
      <c r="S768" s="23" t="str">
        <f aca="true">IF($B768="","",IF(AND($N768="Y",$P768="Y",$R768="Y"),"Done",IF(OR(AND($M768&lt;=TODAY(),$N768&lt;&gt;"Y"),AND($O768&lt;=TODAY(),$P768&lt;&gt;"Y"),AND($Q768&lt;=TODAY(),$R768&lt;&gt;"Y")),"DUE","Scheduled")))</f>
        <v/>
      </c>
      <c r="T768" s="20"/>
      <c r="U768" s="23" t="str">
        <f aca="false">IF($B768="","",IF(OR($T768&lt;=2,$I768="Editorial"),"REDO",""))</f>
        <v/>
      </c>
      <c r="V768" s="18" t="str">
        <f aca="false">IF($S768&lt;&gt;"DUE","",COUNTIF($S$3:$S768,"DUE"))</f>
        <v/>
      </c>
    </row>
    <row r="769" customFormat="false" ht="15" hidden="false" customHeight="false" outlineLevel="0" collapsed="false">
      <c r="A769" s="12" t="str">
        <f aca="false">IF($F769="","",ROW()-2)</f>
        <v/>
      </c>
      <c r="B769" s="19"/>
      <c r="C769" s="20"/>
      <c r="D769" s="21"/>
      <c r="E769" s="21"/>
      <c r="F769" s="21"/>
      <c r="G769" s="20"/>
      <c r="H769" s="21"/>
      <c r="I769" s="20"/>
      <c r="J769" s="20"/>
      <c r="K769" s="21"/>
      <c r="L769" s="21"/>
      <c r="M769" s="22" t="str">
        <f aca="false">IF($B769="","",$B769+2)</f>
        <v/>
      </c>
      <c r="N769" s="20"/>
      <c r="O769" s="22" t="str">
        <f aca="false">IF($B769="","",$B769+5)</f>
        <v/>
      </c>
      <c r="P769" s="20"/>
      <c r="Q769" s="22" t="str">
        <f aca="false">IF($B769="","",$B769+10)</f>
        <v/>
      </c>
      <c r="R769" s="20"/>
      <c r="S769" s="23" t="str">
        <f aca="true">IF($B769="","",IF(AND($N769="Y",$P769="Y",$R769="Y"),"Done",IF(OR(AND($M769&lt;=TODAY(),$N769&lt;&gt;"Y"),AND($O769&lt;=TODAY(),$P769&lt;&gt;"Y"),AND($Q769&lt;=TODAY(),$R769&lt;&gt;"Y")),"DUE","Scheduled")))</f>
        <v/>
      </c>
      <c r="T769" s="20"/>
      <c r="U769" s="23" t="str">
        <f aca="false">IF($B769="","",IF(OR($T769&lt;=2,$I769="Editorial"),"REDO",""))</f>
        <v/>
      </c>
      <c r="V769" s="18" t="str">
        <f aca="false">IF($S769&lt;&gt;"DUE","",COUNTIF($S$3:$S769,"DUE"))</f>
        <v/>
      </c>
    </row>
    <row r="770" customFormat="false" ht="15" hidden="false" customHeight="false" outlineLevel="0" collapsed="false">
      <c r="A770" s="12" t="str">
        <f aca="false">IF($F770="","",ROW()-2)</f>
        <v/>
      </c>
      <c r="B770" s="19"/>
      <c r="C770" s="20"/>
      <c r="D770" s="21"/>
      <c r="E770" s="21"/>
      <c r="F770" s="21"/>
      <c r="G770" s="20"/>
      <c r="H770" s="21"/>
      <c r="I770" s="20"/>
      <c r="J770" s="20"/>
      <c r="K770" s="21"/>
      <c r="L770" s="21"/>
      <c r="M770" s="22" t="str">
        <f aca="false">IF($B770="","",$B770+2)</f>
        <v/>
      </c>
      <c r="N770" s="20"/>
      <c r="O770" s="22" t="str">
        <f aca="false">IF($B770="","",$B770+5)</f>
        <v/>
      </c>
      <c r="P770" s="20"/>
      <c r="Q770" s="22" t="str">
        <f aca="false">IF($B770="","",$B770+10)</f>
        <v/>
      </c>
      <c r="R770" s="20"/>
      <c r="S770" s="23" t="str">
        <f aca="true">IF($B770="","",IF(AND($N770="Y",$P770="Y",$R770="Y"),"Done",IF(OR(AND($M770&lt;=TODAY(),$N770&lt;&gt;"Y"),AND($O770&lt;=TODAY(),$P770&lt;&gt;"Y"),AND($Q770&lt;=TODAY(),$R770&lt;&gt;"Y")),"DUE","Scheduled")))</f>
        <v/>
      </c>
      <c r="T770" s="20"/>
      <c r="U770" s="23" t="str">
        <f aca="false">IF($B770="","",IF(OR($T770&lt;=2,$I770="Editorial"),"REDO",""))</f>
        <v/>
      </c>
      <c r="V770" s="18" t="str">
        <f aca="false">IF($S770&lt;&gt;"DUE","",COUNTIF($S$3:$S770,"DUE"))</f>
        <v/>
      </c>
    </row>
    <row r="771" customFormat="false" ht="15" hidden="false" customHeight="false" outlineLevel="0" collapsed="false">
      <c r="A771" s="12" t="str">
        <f aca="false">IF($F771="","",ROW()-2)</f>
        <v/>
      </c>
      <c r="B771" s="19"/>
      <c r="C771" s="20"/>
      <c r="D771" s="21"/>
      <c r="E771" s="21"/>
      <c r="F771" s="21"/>
      <c r="G771" s="20"/>
      <c r="H771" s="21"/>
      <c r="I771" s="20"/>
      <c r="J771" s="20"/>
      <c r="K771" s="21"/>
      <c r="L771" s="21"/>
      <c r="M771" s="22" t="str">
        <f aca="false">IF($B771="","",$B771+2)</f>
        <v/>
      </c>
      <c r="N771" s="20"/>
      <c r="O771" s="22" t="str">
        <f aca="false">IF($B771="","",$B771+5)</f>
        <v/>
      </c>
      <c r="P771" s="20"/>
      <c r="Q771" s="22" t="str">
        <f aca="false">IF($B771="","",$B771+10)</f>
        <v/>
      </c>
      <c r="R771" s="20"/>
      <c r="S771" s="23" t="str">
        <f aca="true">IF($B771="","",IF(AND($N771="Y",$P771="Y",$R771="Y"),"Done",IF(OR(AND($M771&lt;=TODAY(),$N771&lt;&gt;"Y"),AND($O771&lt;=TODAY(),$P771&lt;&gt;"Y"),AND($Q771&lt;=TODAY(),$R771&lt;&gt;"Y")),"DUE","Scheduled")))</f>
        <v/>
      </c>
      <c r="T771" s="20"/>
      <c r="U771" s="23" t="str">
        <f aca="false">IF($B771="","",IF(OR($T771&lt;=2,$I771="Editorial"),"REDO",""))</f>
        <v/>
      </c>
      <c r="V771" s="18" t="str">
        <f aca="false">IF($S771&lt;&gt;"DUE","",COUNTIF($S$3:$S771,"DUE"))</f>
        <v/>
      </c>
    </row>
    <row r="772" customFormat="false" ht="15" hidden="false" customHeight="false" outlineLevel="0" collapsed="false">
      <c r="A772" s="12" t="str">
        <f aca="false">IF($F772="","",ROW()-2)</f>
        <v/>
      </c>
      <c r="B772" s="19"/>
      <c r="C772" s="20"/>
      <c r="D772" s="21"/>
      <c r="E772" s="21"/>
      <c r="F772" s="21"/>
      <c r="G772" s="20"/>
      <c r="H772" s="21"/>
      <c r="I772" s="20"/>
      <c r="J772" s="20"/>
      <c r="K772" s="21"/>
      <c r="L772" s="21"/>
      <c r="M772" s="22" t="str">
        <f aca="false">IF($B772="","",$B772+2)</f>
        <v/>
      </c>
      <c r="N772" s="20"/>
      <c r="O772" s="22" t="str">
        <f aca="false">IF($B772="","",$B772+5)</f>
        <v/>
      </c>
      <c r="P772" s="20"/>
      <c r="Q772" s="22" t="str">
        <f aca="false">IF($B772="","",$B772+10)</f>
        <v/>
      </c>
      <c r="R772" s="20"/>
      <c r="S772" s="23" t="str">
        <f aca="true">IF($B772="","",IF(AND($N772="Y",$P772="Y",$R772="Y"),"Done",IF(OR(AND($M772&lt;=TODAY(),$N772&lt;&gt;"Y"),AND($O772&lt;=TODAY(),$P772&lt;&gt;"Y"),AND($Q772&lt;=TODAY(),$R772&lt;&gt;"Y")),"DUE","Scheduled")))</f>
        <v/>
      </c>
      <c r="T772" s="20"/>
      <c r="U772" s="23" t="str">
        <f aca="false">IF($B772="","",IF(OR($T772&lt;=2,$I772="Editorial"),"REDO",""))</f>
        <v/>
      </c>
      <c r="V772" s="18" t="str">
        <f aca="false">IF($S772&lt;&gt;"DUE","",COUNTIF($S$3:$S772,"DUE"))</f>
        <v/>
      </c>
    </row>
    <row r="773" customFormat="false" ht="15" hidden="false" customHeight="false" outlineLevel="0" collapsed="false">
      <c r="A773" s="12" t="str">
        <f aca="false">IF($F773="","",ROW()-2)</f>
        <v/>
      </c>
      <c r="B773" s="19"/>
      <c r="C773" s="20"/>
      <c r="D773" s="21"/>
      <c r="E773" s="21"/>
      <c r="F773" s="21"/>
      <c r="G773" s="20"/>
      <c r="H773" s="21"/>
      <c r="I773" s="20"/>
      <c r="J773" s="20"/>
      <c r="K773" s="21"/>
      <c r="L773" s="21"/>
      <c r="M773" s="22" t="str">
        <f aca="false">IF($B773="","",$B773+2)</f>
        <v/>
      </c>
      <c r="N773" s="20"/>
      <c r="O773" s="22" t="str">
        <f aca="false">IF($B773="","",$B773+5)</f>
        <v/>
      </c>
      <c r="P773" s="20"/>
      <c r="Q773" s="22" t="str">
        <f aca="false">IF($B773="","",$B773+10)</f>
        <v/>
      </c>
      <c r="R773" s="20"/>
      <c r="S773" s="23" t="str">
        <f aca="true">IF($B773="","",IF(AND($N773="Y",$P773="Y",$R773="Y"),"Done",IF(OR(AND($M773&lt;=TODAY(),$N773&lt;&gt;"Y"),AND($O773&lt;=TODAY(),$P773&lt;&gt;"Y"),AND($Q773&lt;=TODAY(),$R773&lt;&gt;"Y")),"DUE","Scheduled")))</f>
        <v/>
      </c>
      <c r="T773" s="20"/>
      <c r="U773" s="23" t="str">
        <f aca="false">IF($B773="","",IF(OR($T773&lt;=2,$I773="Editorial"),"REDO",""))</f>
        <v/>
      </c>
      <c r="V773" s="18" t="str">
        <f aca="false">IF($S773&lt;&gt;"DUE","",COUNTIF($S$3:$S773,"DUE"))</f>
        <v/>
      </c>
    </row>
    <row r="774" customFormat="false" ht="15" hidden="false" customHeight="false" outlineLevel="0" collapsed="false">
      <c r="A774" s="12" t="str">
        <f aca="false">IF($F774="","",ROW()-2)</f>
        <v/>
      </c>
      <c r="B774" s="19"/>
      <c r="C774" s="20"/>
      <c r="D774" s="21"/>
      <c r="E774" s="21"/>
      <c r="F774" s="21"/>
      <c r="G774" s="20"/>
      <c r="H774" s="21"/>
      <c r="I774" s="20"/>
      <c r="J774" s="20"/>
      <c r="K774" s="21"/>
      <c r="L774" s="21"/>
      <c r="M774" s="22" t="str">
        <f aca="false">IF($B774="","",$B774+2)</f>
        <v/>
      </c>
      <c r="N774" s="20"/>
      <c r="O774" s="22" t="str">
        <f aca="false">IF($B774="","",$B774+5)</f>
        <v/>
      </c>
      <c r="P774" s="20"/>
      <c r="Q774" s="22" t="str">
        <f aca="false">IF($B774="","",$B774+10)</f>
        <v/>
      </c>
      <c r="R774" s="20"/>
      <c r="S774" s="23" t="str">
        <f aca="true">IF($B774="","",IF(AND($N774="Y",$P774="Y",$R774="Y"),"Done",IF(OR(AND($M774&lt;=TODAY(),$N774&lt;&gt;"Y"),AND($O774&lt;=TODAY(),$P774&lt;&gt;"Y"),AND($Q774&lt;=TODAY(),$R774&lt;&gt;"Y")),"DUE","Scheduled")))</f>
        <v/>
      </c>
      <c r="T774" s="20"/>
      <c r="U774" s="23" t="str">
        <f aca="false">IF($B774="","",IF(OR($T774&lt;=2,$I774="Editorial"),"REDO",""))</f>
        <v/>
      </c>
      <c r="V774" s="18" t="str">
        <f aca="false">IF($S774&lt;&gt;"DUE","",COUNTIF($S$3:$S774,"DUE"))</f>
        <v/>
      </c>
    </row>
    <row r="775" customFormat="false" ht="15" hidden="false" customHeight="false" outlineLevel="0" collapsed="false">
      <c r="A775" s="12" t="str">
        <f aca="false">IF($F775="","",ROW()-2)</f>
        <v/>
      </c>
      <c r="B775" s="19"/>
      <c r="C775" s="20"/>
      <c r="D775" s="21"/>
      <c r="E775" s="21"/>
      <c r="F775" s="21"/>
      <c r="G775" s="20"/>
      <c r="H775" s="21"/>
      <c r="I775" s="20"/>
      <c r="J775" s="20"/>
      <c r="K775" s="21"/>
      <c r="L775" s="21"/>
      <c r="M775" s="22" t="str">
        <f aca="false">IF($B775="","",$B775+2)</f>
        <v/>
      </c>
      <c r="N775" s="20"/>
      <c r="O775" s="22" t="str">
        <f aca="false">IF($B775="","",$B775+5)</f>
        <v/>
      </c>
      <c r="P775" s="20"/>
      <c r="Q775" s="22" t="str">
        <f aca="false">IF($B775="","",$B775+10)</f>
        <v/>
      </c>
      <c r="R775" s="20"/>
      <c r="S775" s="23" t="str">
        <f aca="true">IF($B775="","",IF(AND($N775="Y",$P775="Y",$R775="Y"),"Done",IF(OR(AND($M775&lt;=TODAY(),$N775&lt;&gt;"Y"),AND($O775&lt;=TODAY(),$P775&lt;&gt;"Y"),AND($Q775&lt;=TODAY(),$R775&lt;&gt;"Y")),"DUE","Scheduled")))</f>
        <v/>
      </c>
      <c r="T775" s="20"/>
      <c r="U775" s="23" t="str">
        <f aca="false">IF($B775="","",IF(OR($T775&lt;=2,$I775="Editorial"),"REDO",""))</f>
        <v/>
      </c>
      <c r="V775" s="18" t="str">
        <f aca="false">IF($S775&lt;&gt;"DUE","",COUNTIF($S$3:$S775,"DUE"))</f>
        <v/>
      </c>
    </row>
    <row r="776" customFormat="false" ht="15" hidden="false" customHeight="false" outlineLevel="0" collapsed="false">
      <c r="A776" s="12" t="str">
        <f aca="false">IF($F776="","",ROW()-2)</f>
        <v/>
      </c>
      <c r="B776" s="19"/>
      <c r="C776" s="20"/>
      <c r="D776" s="21"/>
      <c r="E776" s="21"/>
      <c r="F776" s="21"/>
      <c r="G776" s="20"/>
      <c r="H776" s="21"/>
      <c r="I776" s="20"/>
      <c r="J776" s="20"/>
      <c r="K776" s="21"/>
      <c r="L776" s="21"/>
      <c r="M776" s="22" t="str">
        <f aca="false">IF($B776="","",$B776+2)</f>
        <v/>
      </c>
      <c r="N776" s="20"/>
      <c r="O776" s="22" t="str">
        <f aca="false">IF($B776="","",$B776+5)</f>
        <v/>
      </c>
      <c r="P776" s="20"/>
      <c r="Q776" s="22" t="str">
        <f aca="false">IF($B776="","",$B776+10)</f>
        <v/>
      </c>
      <c r="R776" s="20"/>
      <c r="S776" s="23" t="str">
        <f aca="true">IF($B776="","",IF(AND($N776="Y",$P776="Y",$R776="Y"),"Done",IF(OR(AND($M776&lt;=TODAY(),$N776&lt;&gt;"Y"),AND($O776&lt;=TODAY(),$P776&lt;&gt;"Y"),AND($Q776&lt;=TODAY(),$R776&lt;&gt;"Y")),"DUE","Scheduled")))</f>
        <v/>
      </c>
      <c r="T776" s="20"/>
      <c r="U776" s="23" t="str">
        <f aca="false">IF($B776="","",IF(OR($T776&lt;=2,$I776="Editorial"),"REDO",""))</f>
        <v/>
      </c>
      <c r="V776" s="18" t="str">
        <f aca="false">IF($S776&lt;&gt;"DUE","",COUNTIF($S$3:$S776,"DUE"))</f>
        <v/>
      </c>
    </row>
    <row r="777" customFormat="false" ht="15" hidden="false" customHeight="false" outlineLevel="0" collapsed="false">
      <c r="A777" s="12" t="str">
        <f aca="false">IF($F777="","",ROW()-2)</f>
        <v/>
      </c>
      <c r="B777" s="19"/>
      <c r="C777" s="20"/>
      <c r="D777" s="21"/>
      <c r="E777" s="21"/>
      <c r="F777" s="21"/>
      <c r="G777" s="20"/>
      <c r="H777" s="21"/>
      <c r="I777" s="20"/>
      <c r="J777" s="20"/>
      <c r="K777" s="21"/>
      <c r="L777" s="21"/>
      <c r="M777" s="22" t="str">
        <f aca="false">IF($B777="","",$B777+2)</f>
        <v/>
      </c>
      <c r="N777" s="20"/>
      <c r="O777" s="22" t="str">
        <f aca="false">IF($B777="","",$B777+5)</f>
        <v/>
      </c>
      <c r="P777" s="20"/>
      <c r="Q777" s="22" t="str">
        <f aca="false">IF($B777="","",$B777+10)</f>
        <v/>
      </c>
      <c r="R777" s="20"/>
      <c r="S777" s="23" t="str">
        <f aca="true">IF($B777="","",IF(AND($N777="Y",$P777="Y",$R777="Y"),"Done",IF(OR(AND($M777&lt;=TODAY(),$N777&lt;&gt;"Y"),AND($O777&lt;=TODAY(),$P777&lt;&gt;"Y"),AND($Q777&lt;=TODAY(),$R777&lt;&gt;"Y")),"DUE","Scheduled")))</f>
        <v/>
      </c>
      <c r="T777" s="20"/>
      <c r="U777" s="23" t="str">
        <f aca="false">IF($B777="","",IF(OR($T777&lt;=2,$I777="Editorial"),"REDO",""))</f>
        <v/>
      </c>
      <c r="V777" s="18" t="str">
        <f aca="false">IF($S777&lt;&gt;"DUE","",COUNTIF($S$3:$S777,"DUE"))</f>
        <v/>
      </c>
    </row>
    <row r="778" customFormat="false" ht="15" hidden="false" customHeight="false" outlineLevel="0" collapsed="false">
      <c r="A778" s="12" t="str">
        <f aca="false">IF($F778="","",ROW()-2)</f>
        <v/>
      </c>
      <c r="B778" s="19"/>
      <c r="C778" s="20"/>
      <c r="D778" s="21"/>
      <c r="E778" s="21"/>
      <c r="F778" s="21"/>
      <c r="G778" s="20"/>
      <c r="H778" s="21"/>
      <c r="I778" s="20"/>
      <c r="J778" s="20"/>
      <c r="K778" s="21"/>
      <c r="L778" s="21"/>
      <c r="M778" s="22" t="str">
        <f aca="false">IF($B778="","",$B778+2)</f>
        <v/>
      </c>
      <c r="N778" s="20"/>
      <c r="O778" s="22" t="str">
        <f aca="false">IF($B778="","",$B778+5)</f>
        <v/>
      </c>
      <c r="P778" s="20"/>
      <c r="Q778" s="22" t="str">
        <f aca="false">IF($B778="","",$B778+10)</f>
        <v/>
      </c>
      <c r="R778" s="20"/>
      <c r="S778" s="23" t="str">
        <f aca="true">IF($B778="","",IF(AND($N778="Y",$P778="Y",$R778="Y"),"Done",IF(OR(AND($M778&lt;=TODAY(),$N778&lt;&gt;"Y"),AND($O778&lt;=TODAY(),$P778&lt;&gt;"Y"),AND($Q778&lt;=TODAY(),$R778&lt;&gt;"Y")),"DUE","Scheduled")))</f>
        <v/>
      </c>
      <c r="T778" s="20"/>
      <c r="U778" s="23" t="str">
        <f aca="false">IF($B778="","",IF(OR($T778&lt;=2,$I778="Editorial"),"REDO",""))</f>
        <v/>
      </c>
      <c r="V778" s="18" t="str">
        <f aca="false">IF($S778&lt;&gt;"DUE","",COUNTIF($S$3:$S778,"DUE"))</f>
        <v/>
      </c>
    </row>
    <row r="779" customFormat="false" ht="15" hidden="false" customHeight="false" outlineLevel="0" collapsed="false">
      <c r="A779" s="12" t="str">
        <f aca="false">IF($F779="","",ROW()-2)</f>
        <v/>
      </c>
      <c r="B779" s="19"/>
      <c r="C779" s="20"/>
      <c r="D779" s="21"/>
      <c r="E779" s="21"/>
      <c r="F779" s="21"/>
      <c r="G779" s="20"/>
      <c r="H779" s="21"/>
      <c r="I779" s="20"/>
      <c r="J779" s="20"/>
      <c r="K779" s="21"/>
      <c r="L779" s="21"/>
      <c r="M779" s="22" t="str">
        <f aca="false">IF($B779="","",$B779+2)</f>
        <v/>
      </c>
      <c r="N779" s="20"/>
      <c r="O779" s="22" t="str">
        <f aca="false">IF($B779="","",$B779+5)</f>
        <v/>
      </c>
      <c r="P779" s="20"/>
      <c r="Q779" s="22" t="str">
        <f aca="false">IF($B779="","",$B779+10)</f>
        <v/>
      </c>
      <c r="R779" s="20"/>
      <c r="S779" s="23" t="str">
        <f aca="true">IF($B779="","",IF(AND($N779="Y",$P779="Y",$R779="Y"),"Done",IF(OR(AND($M779&lt;=TODAY(),$N779&lt;&gt;"Y"),AND($O779&lt;=TODAY(),$P779&lt;&gt;"Y"),AND($Q779&lt;=TODAY(),$R779&lt;&gt;"Y")),"DUE","Scheduled")))</f>
        <v/>
      </c>
      <c r="T779" s="20"/>
      <c r="U779" s="23" t="str">
        <f aca="false">IF($B779="","",IF(OR($T779&lt;=2,$I779="Editorial"),"REDO",""))</f>
        <v/>
      </c>
      <c r="V779" s="18" t="str">
        <f aca="false">IF($S779&lt;&gt;"DUE","",COUNTIF($S$3:$S779,"DUE"))</f>
        <v/>
      </c>
    </row>
    <row r="780" customFormat="false" ht="15" hidden="false" customHeight="false" outlineLevel="0" collapsed="false">
      <c r="A780" s="12" t="str">
        <f aca="false">IF($F780="","",ROW()-2)</f>
        <v/>
      </c>
      <c r="B780" s="19"/>
      <c r="C780" s="20"/>
      <c r="D780" s="21"/>
      <c r="E780" s="21"/>
      <c r="F780" s="21"/>
      <c r="G780" s="20"/>
      <c r="H780" s="21"/>
      <c r="I780" s="20"/>
      <c r="J780" s="20"/>
      <c r="K780" s="21"/>
      <c r="L780" s="21"/>
      <c r="M780" s="22" t="str">
        <f aca="false">IF($B780="","",$B780+2)</f>
        <v/>
      </c>
      <c r="N780" s="20"/>
      <c r="O780" s="22" t="str">
        <f aca="false">IF($B780="","",$B780+5)</f>
        <v/>
      </c>
      <c r="P780" s="20"/>
      <c r="Q780" s="22" t="str">
        <f aca="false">IF($B780="","",$B780+10)</f>
        <v/>
      </c>
      <c r="R780" s="20"/>
      <c r="S780" s="23" t="str">
        <f aca="true">IF($B780="","",IF(AND($N780="Y",$P780="Y",$R780="Y"),"Done",IF(OR(AND($M780&lt;=TODAY(),$N780&lt;&gt;"Y"),AND($O780&lt;=TODAY(),$P780&lt;&gt;"Y"),AND($Q780&lt;=TODAY(),$R780&lt;&gt;"Y")),"DUE","Scheduled")))</f>
        <v/>
      </c>
      <c r="T780" s="20"/>
      <c r="U780" s="23" t="str">
        <f aca="false">IF($B780="","",IF(OR($T780&lt;=2,$I780="Editorial"),"REDO",""))</f>
        <v/>
      </c>
      <c r="V780" s="18" t="str">
        <f aca="false">IF($S780&lt;&gt;"DUE","",COUNTIF($S$3:$S780,"DUE"))</f>
        <v/>
      </c>
    </row>
    <row r="781" customFormat="false" ht="15" hidden="false" customHeight="false" outlineLevel="0" collapsed="false">
      <c r="A781" s="12" t="str">
        <f aca="false">IF($F781="","",ROW()-2)</f>
        <v/>
      </c>
      <c r="B781" s="19"/>
      <c r="C781" s="20"/>
      <c r="D781" s="21"/>
      <c r="E781" s="21"/>
      <c r="F781" s="21"/>
      <c r="G781" s="20"/>
      <c r="H781" s="21"/>
      <c r="I781" s="20"/>
      <c r="J781" s="20"/>
      <c r="K781" s="21"/>
      <c r="L781" s="21"/>
      <c r="M781" s="22" t="str">
        <f aca="false">IF($B781="","",$B781+2)</f>
        <v/>
      </c>
      <c r="N781" s="20"/>
      <c r="O781" s="22" t="str">
        <f aca="false">IF($B781="","",$B781+5)</f>
        <v/>
      </c>
      <c r="P781" s="20"/>
      <c r="Q781" s="22" t="str">
        <f aca="false">IF($B781="","",$B781+10)</f>
        <v/>
      </c>
      <c r="R781" s="20"/>
      <c r="S781" s="23" t="str">
        <f aca="true">IF($B781="","",IF(AND($N781="Y",$P781="Y",$R781="Y"),"Done",IF(OR(AND($M781&lt;=TODAY(),$N781&lt;&gt;"Y"),AND($O781&lt;=TODAY(),$P781&lt;&gt;"Y"),AND($Q781&lt;=TODAY(),$R781&lt;&gt;"Y")),"DUE","Scheduled")))</f>
        <v/>
      </c>
      <c r="T781" s="20"/>
      <c r="U781" s="23" t="str">
        <f aca="false">IF($B781="","",IF(OR($T781&lt;=2,$I781="Editorial"),"REDO",""))</f>
        <v/>
      </c>
      <c r="V781" s="18" t="str">
        <f aca="false">IF($S781&lt;&gt;"DUE","",COUNTIF($S$3:$S781,"DUE"))</f>
        <v/>
      </c>
    </row>
    <row r="782" customFormat="false" ht="15" hidden="false" customHeight="false" outlineLevel="0" collapsed="false">
      <c r="A782" s="12" t="str">
        <f aca="false">IF($F782="","",ROW()-2)</f>
        <v/>
      </c>
      <c r="B782" s="19"/>
      <c r="C782" s="20"/>
      <c r="D782" s="21"/>
      <c r="E782" s="21"/>
      <c r="F782" s="21"/>
      <c r="G782" s="20"/>
      <c r="H782" s="21"/>
      <c r="I782" s="20"/>
      <c r="J782" s="20"/>
      <c r="K782" s="21"/>
      <c r="L782" s="21"/>
      <c r="M782" s="22" t="str">
        <f aca="false">IF($B782="","",$B782+2)</f>
        <v/>
      </c>
      <c r="N782" s="20"/>
      <c r="O782" s="22" t="str">
        <f aca="false">IF($B782="","",$B782+5)</f>
        <v/>
      </c>
      <c r="P782" s="20"/>
      <c r="Q782" s="22" t="str">
        <f aca="false">IF($B782="","",$B782+10)</f>
        <v/>
      </c>
      <c r="R782" s="20"/>
      <c r="S782" s="23" t="str">
        <f aca="true">IF($B782="","",IF(AND($N782="Y",$P782="Y",$R782="Y"),"Done",IF(OR(AND($M782&lt;=TODAY(),$N782&lt;&gt;"Y"),AND($O782&lt;=TODAY(),$P782&lt;&gt;"Y"),AND($Q782&lt;=TODAY(),$R782&lt;&gt;"Y")),"DUE","Scheduled")))</f>
        <v/>
      </c>
      <c r="T782" s="20"/>
      <c r="U782" s="23" t="str">
        <f aca="false">IF($B782="","",IF(OR($T782&lt;=2,$I782="Editorial"),"REDO",""))</f>
        <v/>
      </c>
      <c r="V782" s="18" t="str">
        <f aca="false">IF($S782&lt;&gt;"DUE","",COUNTIF($S$3:$S782,"DUE"))</f>
        <v/>
      </c>
    </row>
    <row r="783" customFormat="false" ht="15" hidden="false" customHeight="false" outlineLevel="0" collapsed="false">
      <c r="A783" s="12" t="str">
        <f aca="false">IF($F783="","",ROW()-2)</f>
        <v/>
      </c>
      <c r="B783" s="19"/>
      <c r="C783" s="20"/>
      <c r="D783" s="21"/>
      <c r="E783" s="21"/>
      <c r="F783" s="21"/>
      <c r="G783" s="20"/>
      <c r="H783" s="21"/>
      <c r="I783" s="20"/>
      <c r="J783" s="20"/>
      <c r="K783" s="21"/>
      <c r="L783" s="21"/>
      <c r="M783" s="22" t="str">
        <f aca="false">IF($B783="","",$B783+2)</f>
        <v/>
      </c>
      <c r="N783" s="20"/>
      <c r="O783" s="22" t="str">
        <f aca="false">IF($B783="","",$B783+5)</f>
        <v/>
      </c>
      <c r="P783" s="20"/>
      <c r="Q783" s="22" t="str">
        <f aca="false">IF($B783="","",$B783+10)</f>
        <v/>
      </c>
      <c r="R783" s="20"/>
      <c r="S783" s="23" t="str">
        <f aca="true">IF($B783="","",IF(AND($N783="Y",$P783="Y",$R783="Y"),"Done",IF(OR(AND($M783&lt;=TODAY(),$N783&lt;&gt;"Y"),AND($O783&lt;=TODAY(),$P783&lt;&gt;"Y"),AND($Q783&lt;=TODAY(),$R783&lt;&gt;"Y")),"DUE","Scheduled")))</f>
        <v/>
      </c>
      <c r="T783" s="20"/>
      <c r="U783" s="23" t="str">
        <f aca="false">IF($B783="","",IF(OR($T783&lt;=2,$I783="Editorial"),"REDO",""))</f>
        <v/>
      </c>
      <c r="V783" s="18" t="str">
        <f aca="false">IF($S783&lt;&gt;"DUE","",COUNTIF($S$3:$S783,"DUE"))</f>
        <v/>
      </c>
    </row>
    <row r="784" customFormat="false" ht="15" hidden="false" customHeight="false" outlineLevel="0" collapsed="false">
      <c r="A784" s="12" t="str">
        <f aca="false">IF($F784="","",ROW()-2)</f>
        <v/>
      </c>
      <c r="B784" s="19"/>
      <c r="C784" s="20"/>
      <c r="D784" s="21"/>
      <c r="E784" s="21"/>
      <c r="F784" s="21"/>
      <c r="G784" s="20"/>
      <c r="H784" s="21"/>
      <c r="I784" s="20"/>
      <c r="J784" s="20"/>
      <c r="K784" s="21"/>
      <c r="L784" s="21"/>
      <c r="M784" s="22" t="str">
        <f aca="false">IF($B784="","",$B784+2)</f>
        <v/>
      </c>
      <c r="N784" s="20"/>
      <c r="O784" s="22" t="str">
        <f aca="false">IF($B784="","",$B784+5)</f>
        <v/>
      </c>
      <c r="P784" s="20"/>
      <c r="Q784" s="22" t="str">
        <f aca="false">IF($B784="","",$B784+10)</f>
        <v/>
      </c>
      <c r="R784" s="20"/>
      <c r="S784" s="23" t="str">
        <f aca="true">IF($B784="","",IF(AND($N784="Y",$P784="Y",$R784="Y"),"Done",IF(OR(AND($M784&lt;=TODAY(),$N784&lt;&gt;"Y"),AND($O784&lt;=TODAY(),$P784&lt;&gt;"Y"),AND($Q784&lt;=TODAY(),$R784&lt;&gt;"Y")),"DUE","Scheduled")))</f>
        <v/>
      </c>
      <c r="T784" s="20"/>
      <c r="U784" s="23" t="str">
        <f aca="false">IF($B784="","",IF(OR($T784&lt;=2,$I784="Editorial"),"REDO",""))</f>
        <v/>
      </c>
      <c r="V784" s="18" t="str">
        <f aca="false">IF($S784&lt;&gt;"DUE","",COUNTIF($S$3:$S784,"DUE"))</f>
        <v/>
      </c>
    </row>
    <row r="785" customFormat="false" ht="15" hidden="false" customHeight="false" outlineLevel="0" collapsed="false">
      <c r="A785" s="12" t="str">
        <f aca="false">IF($F785="","",ROW()-2)</f>
        <v/>
      </c>
      <c r="B785" s="19"/>
      <c r="C785" s="20"/>
      <c r="D785" s="21"/>
      <c r="E785" s="21"/>
      <c r="F785" s="21"/>
      <c r="G785" s="20"/>
      <c r="H785" s="21"/>
      <c r="I785" s="20"/>
      <c r="J785" s="20"/>
      <c r="K785" s="21"/>
      <c r="L785" s="21"/>
      <c r="M785" s="22" t="str">
        <f aca="false">IF($B785="","",$B785+2)</f>
        <v/>
      </c>
      <c r="N785" s="20"/>
      <c r="O785" s="22" t="str">
        <f aca="false">IF($B785="","",$B785+5)</f>
        <v/>
      </c>
      <c r="P785" s="20"/>
      <c r="Q785" s="22" t="str">
        <f aca="false">IF($B785="","",$B785+10)</f>
        <v/>
      </c>
      <c r="R785" s="20"/>
      <c r="S785" s="23" t="str">
        <f aca="true">IF($B785="","",IF(AND($N785="Y",$P785="Y",$R785="Y"),"Done",IF(OR(AND($M785&lt;=TODAY(),$N785&lt;&gt;"Y"),AND($O785&lt;=TODAY(),$P785&lt;&gt;"Y"),AND($Q785&lt;=TODAY(),$R785&lt;&gt;"Y")),"DUE","Scheduled")))</f>
        <v/>
      </c>
      <c r="T785" s="20"/>
      <c r="U785" s="23" t="str">
        <f aca="false">IF($B785="","",IF(OR($T785&lt;=2,$I785="Editorial"),"REDO",""))</f>
        <v/>
      </c>
      <c r="V785" s="18" t="str">
        <f aca="false">IF($S785&lt;&gt;"DUE","",COUNTIF($S$3:$S785,"DUE"))</f>
        <v/>
      </c>
    </row>
    <row r="786" customFormat="false" ht="15" hidden="false" customHeight="false" outlineLevel="0" collapsed="false">
      <c r="A786" s="12" t="str">
        <f aca="false">IF($F786="","",ROW()-2)</f>
        <v/>
      </c>
      <c r="B786" s="19"/>
      <c r="C786" s="20"/>
      <c r="D786" s="21"/>
      <c r="E786" s="21"/>
      <c r="F786" s="21"/>
      <c r="G786" s="20"/>
      <c r="H786" s="21"/>
      <c r="I786" s="20"/>
      <c r="J786" s="20"/>
      <c r="K786" s="21"/>
      <c r="L786" s="21"/>
      <c r="M786" s="22" t="str">
        <f aca="false">IF($B786="","",$B786+2)</f>
        <v/>
      </c>
      <c r="N786" s="20"/>
      <c r="O786" s="22" t="str">
        <f aca="false">IF($B786="","",$B786+5)</f>
        <v/>
      </c>
      <c r="P786" s="20"/>
      <c r="Q786" s="22" t="str">
        <f aca="false">IF($B786="","",$B786+10)</f>
        <v/>
      </c>
      <c r="R786" s="20"/>
      <c r="S786" s="23" t="str">
        <f aca="true">IF($B786="","",IF(AND($N786="Y",$P786="Y",$R786="Y"),"Done",IF(OR(AND($M786&lt;=TODAY(),$N786&lt;&gt;"Y"),AND($O786&lt;=TODAY(),$P786&lt;&gt;"Y"),AND($Q786&lt;=TODAY(),$R786&lt;&gt;"Y")),"DUE","Scheduled")))</f>
        <v/>
      </c>
      <c r="T786" s="20"/>
      <c r="U786" s="23" t="str">
        <f aca="false">IF($B786="","",IF(OR($T786&lt;=2,$I786="Editorial"),"REDO",""))</f>
        <v/>
      </c>
      <c r="V786" s="18" t="str">
        <f aca="false">IF($S786&lt;&gt;"DUE","",COUNTIF($S$3:$S786,"DUE"))</f>
        <v/>
      </c>
    </row>
    <row r="787" customFormat="false" ht="15" hidden="false" customHeight="false" outlineLevel="0" collapsed="false">
      <c r="A787" s="12" t="str">
        <f aca="false">IF($F787="","",ROW()-2)</f>
        <v/>
      </c>
      <c r="B787" s="19"/>
      <c r="C787" s="20"/>
      <c r="D787" s="21"/>
      <c r="E787" s="21"/>
      <c r="F787" s="21"/>
      <c r="G787" s="20"/>
      <c r="H787" s="21"/>
      <c r="I787" s="20"/>
      <c r="J787" s="20"/>
      <c r="K787" s="21"/>
      <c r="L787" s="21"/>
      <c r="M787" s="22" t="str">
        <f aca="false">IF($B787="","",$B787+2)</f>
        <v/>
      </c>
      <c r="N787" s="20"/>
      <c r="O787" s="22" t="str">
        <f aca="false">IF($B787="","",$B787+5)</f>
        <v/>
      </c>
      <c r="P787" s="20"/>
      <c r="Q787" s="22" t="str">
        <f aca="false">IF($B787="","",$B787+10)</f>
        <v/>
      </c>
      <c r="R787" s="20"/>
      <c r="S787" s="23" t="str">
        <f aca="true">IF($B787="","",IF(AND($N787="Y",$P787="Y",$R787="Y"),"Done",IF(OR(AND($M787&lt;=TODAY(),$N787&lt;&gt;"Y"),AND($O787&lt;=TODAY(),$P787&lt;&gt;"Y"),AND($Q787&lt;=TODAY(),$R787&lt;&gt;"Y")),"DUE","Scheduled")))</f>
        <v/>
      </c>
      <c r="T787" s="20"/>
      <c r="U787" s="23" t="str">
        <f aca="false">IF($B787="","",IF(OR($T787&lt;=2,$I787="Editorial"),"REDO",""))</f>
        <v/>
      </c>
      <c r="V787" s="18" t="str">
        <f aca="false">IF($S787&lt;&gt;"DUE","",COUNTIF($S$3:$S787,"DUE"))</f>
        <v/>
      </c>
    </row>
    <row r="788" customFormat="false" ht="15" hidden="false" customHeight="false" outlineLevel="0" collapsed="false">
      <c r="A788" s="12" t="str">
        <f aca="false">IF($F788="","",ROW()-2)</f>
        <v/>
      </c>
      <c r="B788" s="19"/>
      <c r="C788" s="20"/>
      <c r="D788" s="21"/>
      <c r="E788" s="21"/>
      <c r="F788" s="21"/>
      <c r="G788" s="20"/>
      <c r="H788" s="21"/>
      <c r="I788" s="20"/>
      <c r="J788" s="20"/>
      <c r="K788" s="21"/>
      <c r="L788" s="21"/>
      <c r="M788" s="22" t="str">
        <f aca="false">IF($B788="","",$B788+2)</f>
        <v/>
      </c>
      <c r="N788" s="20"/>
      <c r="O788" s="22" t="str">
        <f aca="false">IF($B788="","",$B788+5)</f>
        <v/>
      </c>
      <c r="P788" s="20"/>
      <c r="Q788" s="22" t="str">
        <f aca="false">IF($B788="","",$B788+10)</f>
        <v/>
      </c>
      <c r="R788" s="20"/>
      <c r="S788" s="23" t="str">
        <f aca="true">IF($B788="","",IF(AND($N788="Y",$P788="Y",$R788="Y"),"Done",IF(OR(AND($M788&lt;=TODAY(),$N788&lt;&gt;"Y"),AND($O788&lt;=TODAY(),$P788&lt;&gt;"Y"),AND($Q788&lt;=TODAY(),$R788&lt;&gt;"Y")),"DUE","Scheduled")))</f>
        <v/>
      </c>
      <c r="T788" s="20"/>
      <c r="U788" s="23" t="str">
        <f aca="false">IF($B788="","",IF(OR($T788&lt;=2,$I788="Editorial"),"REDO",""))</f>
        <v/>
      </c>
      <c r="V788" s="18" t="str">
        <f aca="false">IF($S788&lt;&gt;"DUE","",COUNTIF($S$3:$S788,"DUE"))</f>
        <v/>
      </c>
    </row>
    <row r="789" customFormat="false" ht="15" hidden="false" customHeight="false" outlineLevel="0" collapsed="false">
      <c r="A789" s="12" t="str">
        <f aca="false">IF($F789="","",ROW()-2)</f>
        <v/>
      </c>
      <c r="B789" s="19"/>
      <c r="C789" s="20"/>
      <c r="D789" s="21"/>
      <c r="E789" s="21"/>
      <c r="F789" s="21"/>
      <c r="G789" s="20"/>
      <c r="H789" s="21"/>
      <c r="I789" s="20"/>
      <c r="J789" s="20"/>
      <c r="K789" s="21"/>
      <c r="L789" s="21"/>
      <c r="M789" s="22" t="str">
        <f aca="false">IF($B789="","",$B789+2)</f>
        <v/>
      </c>
      <c r="N789" s="20"/>
      <c r="O789" s="22" t="str">
        <f aca="false">IF($B789="","",$B789+5)</f>
        <v/>
      </c>
      <c r="P789" s="20"/>
      <c r="Q789" s="22" t="str">
        <f aca="false">IF($B789="","",$B789+10)</f>
        <v/>
      </c>
      <c r="R789" s="20"/>
      <c r="S789" s="23" t="str">
        <f aca="true">IF($B789="","",IF(AND($N789="Y",$P789="Y",$R789="Y"),"Done",IF(OR(AND($M789&lt;=TODAY(),$N789&lt;&gt;"Y"),AND($O789&lt;=TODAY(),$P789&lt;&gt;"Y"),AND($Q789&lt;=TODAY(),$R789&lt;&gt;"Y")),"DUE","Scheduled")))</f>
        <v/>
      </c>
      <c r="T789" s="20"/>
      <c r="U789" s="23" t="str">
        <f aca="false">IF($B789="","",IF(OR($T789&lt;=2,$I789="Editorial"),"REDO",""))</f>
        <v/>
      </c>
      <c r="V789" s="18" t="str">
        <f aca="false">IF($S789&lt;&gt;"DUE","",COUNTIF($S$3:$S789,"DUE"))</f>
        <v/>
      </c>
    </row>
    <row r="790" customFormat="false" ht="15" hidden="false" customHeight="false" outlineLevel="0" collapsed="false">
      <c r="A790" s="12" t="str">
        <f aca="false">IF($F790="","",ROW()-2)</f>
        <v/>
      </c>
      <c r="B790" s="19"/>
      <c r="C790" s="20"/>
      <c r="D790" s="21"/>
      <c r="E790" s="21"/>
      <c r="F790" s="21"/>
      <c r="G790" s="20"/>
      <c r="H790" s="21"/>
      <c r="I790" s="20"/>
      <c r="J790" s="20"/>
      <c r="K790" s="21"/>
      <c r="L790" s="21"/>
      <c r="M790" s="22" t="str">
        <f aca="false">IF($B790="","",$B790+2)</f>
        <v/>
      </c>
      <c r="N790" s="20"/>
      <c r="O790" s="22" t="str">
        <f aca="false">IF($B790="","",$B790+5)</f>
        <v/>
      </c>
      <c r="P790" s="20"/>
      <c r="Q790" s="22" t="str">
        <f aca="false">IF($B790="","",$B790+10)</f>
        <v/>
      </c>
      <c r="R790" s="20"/>
      <c r="S790" s="23" t="str">
        <f aca="true">IF($B790="","",IF(AND($N790="Y",$P790="Y",$R790="Y"),"Done",IF(OR(AND($M790&lt;=TODAY(),$N790&lt;&gt;"Y"),AND($O790&lt;=TODAY(),$P790&lt;&gt;"Y"),AND($Q790&lt;=TODAY(),$R790&lt;&gt;"Y")),"DUE","Scheduled")))</f>
        <v/>
      </c>
      <c r="T790" s="20"/>
      <c r="U790" s="23" t="str">
        <f aca="false">IF($B790="","",IF(OR($T790&lt;=2,$I790="Editorial"),"REDO",""))</f>
        <v/>
      </c>
      <c r="V790" s="18" t="str">
        <f aca="false">IF($S790&lt;&gt;"DUE","",COUNTIF($S$3:$S790,"DUE"))</f>
        <v/>
      </c>
    </row>
    <row r="791" customFormat="false" ht="15" hidden="false" customHeight="false" outlineLevel="0" collapsed="false">
      <c r="A791" s="12" t="str">
        <f aca="false">IF($F791="","",ROW()-2)</f>
        <v/>
      </c>
      <c r="B791" s="19"/>
      <c r="C791" s="20"/>
      <c r="D791" s="21"/>
      <c r="E791" s="21"/>
      <c r="F791" s="21"/>
      <c r="G791" s="20"/>
      <c r="H791" s="21"/>
      <c r="I791" s="20"/>
      <c r="J791" s="20"/>
      <c r="K791" s="21"/>
      <c r="L791" s="21"/>
      <c r="M791" s="22" t="str">
        <f aca="false">IF($B791="","",$B791+2)</f>
        <v/>
      </c>
      <c r="N791" s="20"/>
      <c r="O791" s="22" t="str">
        <f aca="false">IF($B791="","",$B791+5)</f>
        <v/>
      </c>
      <c r="P791" s="20"/>
      <c r="Q791" s="22" t="str">
        <f aca="false">IF($B791="","",$B791+10)</f>
        <v/>
      </c>
      <c r="R791" s="20"/>
      <c r="S791" s="23" t="str">
        <f aca="true">IF($B791="","",IF(AND($N791="Y",$P791="Y",$R791="Y"),"Done",IF(OR(AND($M791&lt;=TODAY(),$N791&lt;&gt;"Y"),AND($O791&lt;=TODAY(),$P791&lt;&gt;"Y"),AND($Q791&lt;=TODAY(),$R791&lt;&gt;"Y")),"DUE","Scheduled")))</f>
        <v/>
      </c>
      <c r="T791" s="20"/>
      <c r="U791" s="23" t="str">
        <f aca="false">IF($B791="","",IF(OR($T791&lt;=2,$I791="Editorial"),"REDO",""))</f>
        <v/>
      </c>
      <c r="V791" s="18" t="str">
        <f aca="false">IF($S791&lt;&gt;"DUE","",COUNTIF($S$3:$S791,"DUE"))</f>
        <v/>
      </c>
    </row>
    <row r="792" customFormat="false" ht="15" hidden="false" customHeight="false" outlineLevel="0" collapsed="false">
      <c r="A792" s="12" t="str">
        <f aca="false">IF($F792="","",ROW()-2)</f>
        <v/>
      </c>
      <c r="B792" s="19"/>
      <c r="C792" s="20"/>
      <c r="D792" s="21"/>
      <c r="E792" s="21"/>
      <c r="F792" s="21"/>
      <c r="G792" s="20"/>
      <c r="H792" s="21"/>
      <c r="I792" s="20"/>
      <c r="J792" s="20"/>
      <c r="K792" s="21"/>
      <c r="L792" s="21"/>
      <c r="M792" s="22" t="str">
        <f aca="false">IF($B792="","",$B792+2)</f>
        <v/>
      </c>
      <c r="N792" s="20"/>
      <c r="O792" s="22" t="str">
        <f aca="false">IF($B792="","",$B792+5)</f>
        <v/>
      </c>
      <c r="P792" s="20"/>
      <c r="Q792" s="22" t="str">
        <f aca="false">IF($B792="","",$B792+10)</f>
        <v/>
      </c>
      <c r="R792" s="20"/>
      <c r="S792" s="23" t="str">
        <f aca="true">IF($B792="","",IF(AND($N792="Y",$P792="Y",$R792="Y"),"Done",IF(OR(AND($M792&lt;=TODAY(),$N792&lt;&gt;"Y"),AND($O792&lt;=TODAY(),$P792&lt;&gt;"Y"),AND($Q792&lt;=TODAY(),$R792&lt;&gt;"Y")),"DUE","Scheduled")))</f>
        <v/>
      </c>
      <c r="T792" s="20"/>
      <c r="U792" s="23" t="str">
        <f aca="false">IF($B792="","",IF(OR($T792&lt;=2,$I792="Editorial"),"REDO",""))</f>
        <v/>
      </c>
      <c r="V792" s="18" t="str">
        <f aca="false">IF($S792&lt;&gt;"DUE","",COUNTIF($S$3:$S792,"DUE"))</f>
        <v/>
      </c>
    </row>
    <row r="793" customFormat="false" ht="15" hidden="false" customHeight="false" outlineLevel="0" collapsed="false">
      <c r="A793" s="12" t="str">
        <f aca="false">IF($F793="","",ROW()-2)</f>
        <v/>
      </c>
      <c r="B793" s="19"/>
      <c r="C793" s="20"/>
      <c r="D793" s="21"/>
      <c r="E793" s="21"/>
      <c r="F793" s="21"/>
      <c r="G793" s="20"/>
      <c r="H793" s="21"/>
      <c r="I793" s="20"/>
      <c r="J793" s="20"/>
      <c r="K793" s="21"/>
      <c r="L793" s="21"/>
      <c r="M793" s="22" t="str">
        <f aca="false">IF($B793="","",$B793+2)</f>
        <v/>
      </c>
      <c r="N793" s="20"/>
      <c r="O793" s="22" t="str">
        <f aca="false">IF($B793="","",$B793+5)</f>
        <v/>
      </c>
      <c r="P793" s="20"/>
      <c r="Q793" s="22" t="str">
        <f aca="false">IF($B793="","",$B793+10)</f>
        <v/>
      </c>
      <c r="R793" s="20"/>
      <c r="S793" s="23" t="str">
        <f aca="true">IF($B793="","",IF(AND($N793="Y",$P793="Y",$R793="Y"),"Done",IF(OR(AND($M793&lt;=TODAY(),$N793&lt;&gt;"Y"),AND($O793&lt;=TODAY(),$P793&lt;&gt;"Y"),AND($Q793&lt;=TODAY(),$R793&lt;&gt;"Y")),"DUE","Scheduled")))</f>
        <v/>
      </c>
      <c r="T793" s="20"/>
      <c r="U793" s="23" t="str">
        <f aca="false">IF($B793="","",IF(OR($T793&lt;=2,$I793="Editorial"),"REDO",""))</f>
        <v/>
      </c>
      <c r="V793" s="18" t="str">
        <f aca="false">IF($S793&lt;&gt;"DUE","",COUNTIF($S$3:$S793,"DUE"))</f>
        <v/>
      </c>
    </row>
    <row r="794" customFormat="false" ht="15" hidden="false" customHeight="false" outlineLevel="0" collapsed="false">
      <c r="A794" s="12" t="str">
        <f aca="false">IF($F794="","",ROW()-2)</f>
        <v/>
      </c>
      <c r="B794" s="19"/>
      <c r="C794" s="20"/>
      <c r="D794" s="21"/>
      <c r="E794" s="21"/>
      <c r="F794" s="21"/>
      <c r="G794" s="20"/>
      <c r="H794" s="21"/>
      <c r="I794" s="20"/>
      <c r="J794" s="20"/>
      <c r="K794" s="21"/>
      <c r="L794" s="21"/>
      <c r="M794" s="22" t="str">
        <f aca="false">IF($B794="","",$B794+2)</f>
        <v/>
      </c>
      <c r="N794" s="20"/>
      <c r="O794" s="22" t="str">
        <f aca="false">IF($B794="","",$B794+5)</f>
        <v/>
      </c>
      <c r="P794" s="20"/>
      <c r="Q794" s="22" t="str">
        <f aca="false">IF($B794="","",$B794+10)</f>
        <v/>
      </c>
      <c r="R794" s="20"/>
      <c r="S794" s="23" t="str">
        <f aca="true">IF($B794="","",IF(AND($N794="Y",$P794="Y",$R794="Y"),"Done",IF(OR(AND($M794&lt;=TODAY(),$N794&lt;&gt;"Y"),AND($O794&lt;=TODAY(),$P794&lt;&gt;"Y"),AND($Q794&lt;=TODAY(),$R794&lt;&gt;"Y")),"DUE","Scheduled")))</f>
        <v/>
      </c>
      <c r="T794" s="20"/>
      <c r="U794" s="23" t="str">
        <f aca="false">IF($B794="","",IF(OR($T794&lt;=2,$I794="Editorial"),"REDO",""))</f>
        <v/>
      </c>
      <c r="V794" s="18" t="str">
        <f aca="false">IF($S794&lt;&gt;"DUE","",COUNTIF($S$3:$S794,"DUE"))</f>
        <v/>
      </c>
    </row>
    <row r="795" customFormat="false" ht="15" hidden="false" customHeight="false" outlineLevel="0" collapsed="false">
      <c r="A795" s="12" t="str">
        <f aca="false">IF($F795="","",ROW()-2)</f>
        <v/>
      </c>
      <c r="B795" s="19"/>
      <c r="C795" s="20"/>
      <c r="D795" s="21"/>
      <c r="E795" s="21"/>
      <c r="F795" s="21"/>
      <c r="G795" s="20"/>
      <c r="H795" s="21"/>
      <c r="I795" s="20"/>
      <c r="J795" s="20"/>
      <c r="K795" s="21"/>
      <c r="L795" s="21"/>
      <c r="M795" s="22" t="str">
        <f aca="false">IF($B795="","",$B795+2)</f>
        <v/>
      </c>
      <c r="N795" s="20"/>
      <c r="O795" s="22" t="str">
        <f aca="false">IF($B795="","",$B795+5)</f>
        <v/>
      </c>
      <c r="P795" s="20"/>
      <c r="Q795" s="22" t="str">
        <f aca="false">IF($B795="","",$B795+10)</f>
        <v/>
      </c>
      <c r="R795" s="20"/>
      <c r="S795" s="23" t="str">
        <f aca="true">IF($B795="","",IF(AND($N795="Y",$P795="Y",$R795="Y"),"Done",IF(OR(AND($M795&lt;=TODAY(),$N795&lt;&gt;"Y"),AND($O795&lt;=TODAY(),$P795&lt;&gt;"Y"),AND($Q795&lt;=TODAY(),$R795&lt;&gt;"Y")),"DUE","Scheduled")))</f>
        <v/>
      </c>
      <c r="T795" s="20"/>
      <c r="U795" s="23" t="str">
        <f aca="false">IF($B795="","",IF(OR($T795&lt;=2,$I795="Editorial"),"REDO",""))</f>
        <v/>
      </c>
      <c r="V795" s="18" t="str">
        <f aca="false">IF($S795&lt;&gt;"DUE","",COUNTIF($S$3:$S795,"DUE"))</f>
        <v/>
      </c>
    </row>
    <row r="796" customFormat="false" ht="15" hidden="false" customHeight="false" outlineLevel="0" collapsed="false">
      <c r="A796" s="12" t="str">
        <f aca="false">IF($F796="","",ROW()-2)</f>
        <v/>
      </c>
      <c r="B796" s="19"/>
      <c r="C796" s="20"/>
      <c r="D796" s="21"/>
      <c r="E796" s="21"/>
      <c r="F796" s="21"/>
      <c r="G796" s="20"/>
      <c r="H796" s="21"/>
      <c r="I796" s="20"/>
      <c r="J796" s="20"/>
      <c r="K796" s="21"/>
      <c r="L796" s="21"/>
      <c r="M796" s="22" t="str">
        <f aca="false">IF($B796="","",$B796+2)</f>
        <v/>
      </c>
      <c r="N796" s="20"/>
      <c r="O796" s="22" t="str">
        <f aca="false">IF($B796="","",$B796+5)</f>
        <v/>
      </c>
      <c r="P796" s="20"/>
      <c r="Q796" s="22" t="str">
        <f aca="false">IF($B796="","",$B796+10)</f>
        <v/>
      </c>
      <c r="R796" s="20"/>
      <c r="S796" s="23" t="str">
        <f aca="true">IF($B796="","",IF(AND($N796="Y",$P796="Y",$R796="Y"),"Done",IF(OR(AND($M796&lt;=TODAY(),$N796&lt;&gt;"Y"),AND($O796&lt;=TODAY(),$P796&lt;&gt;"Y"),AND($Q796&lt;=TODAY(),$R796&lt;&gt;"Y")),"DUE","Scheduled")))</f>
        <v/>
      </c>
      <c r="T796" s="20"/>
      <c r="U796" s="23" t="str">
        <f aca="false">IF($B796="","",IF(OR($T796&lt;=2,$I796="Editorial"),"REDO",""))</f>
        <v/>
      </c>
      <c r="V796" s="18" t="str">
        <f aca="false">IF($S796&lt;&gt;"DUE","",COUNTIF($S$3:$S796,"DUE"))</f>
        <v/>
      </c>
    </row>
    <row r="797" customFormat="false" ht="15" hidden="false" customHeight="false" outlineLevel="0" collapsed="false">
      <c r="A797" s="12" t="str">
        <f aca="false">IF($F797="","",ROW()-2)</f>
        <v/>
      </c>
      <c r="B797" s="19"/>
      <c r="C797" s="20"/>
      <c r="D797" s="21"/>
      <c r="E797" s="21"/>
      <c r="F797" s="21"/>
      <c r="G797" s="20"/>
      <c r="H797" s="21"/>
      <c r="I797" s="20"/>
      <c r="J797" s="20"/>
      <c r="K797" s="21"/>
      <c r="L797" s="21"/>
      <c r="M797" s="22" t="str">
        <f aca="false">IF($B797="","",$B797+2)</f>
        <v/>
      </c>
      <c r="N797" s="20"/>
      <c r="O797" s="22" t="str">
        <f aca="false">IF($B797="","",$B797+5)</f>
        <v/>
      </c>
      <c r="P797" s="20"/>
      <c r="Q797" s="22" t="str">
        <f aca="false">IF($B797="","",$B797+10)</f>
        <v/>
      </c>
      <c r="R797" s="20"/>
      <c r="S797" s="23" t="str">
        <f aca="true">IF($B797="","",IF(AND($N797="Y",$P797="Y",$R797="Y"),"Done",IF(OR(AND($M797&lt;=TODAY(),$N797&lt;&gt;"Y"),AND($O797&lt;=TODAY(),$P797&lt;&gt;"Y"),AND($Q797&lt;=TODAY(),$R797&lt;&gt;"Y")),"DUE","Scheduled")))</f>
        <v/>
      </c>
      <c r="T797" s="20"/>
      <c r="U797" s="23" t="str">
        <f aca="false">IF($B797="","",IF(OR($T797&lt;=2,$I797="Editorial"),"REDO",""))</f>
        <v/>
      </c>
      <c r="V797" s="18" t="str">
        <f aca="false">IF($S797&lt;&gt;"DUE","",COUNTIF($S$3:$S797,"DUE"))</f>
        <v/>
      </c>
    </row>
    <row r="798" customFormat="false" ht="15" hidden="false" customHeight="false" outlineLevel="0" collapsed="false">
      <c r="A798" s="12" t="str">
        <f aca="false">IF($F798="","",ROW()-2)</f>
        <v/>
      </c>
      <c r="B798" s="19"/>
      <c r="C798" s="20"/>
      <c r="D798" s="21"/>
      <c r="E798" s="21"/>
      <c r="F798" s="21"/>
      <c r="G798" s="20"/>
      <c r="H798" s="21"/>
      <c r="I798" s="20"/>
      <c r="J798" s="20"/>
      <c r="K798" s="21"/>
      <c r="L798" s="21"/>
      <c r="M798" s="22" t="str">
        <f aca="false">IF($B798="","",$B798+2)</f>
        <v/>
      </c>
      <c r="N798" s="20"/>
      <c r="O798" s="22" t="str">
        <f aca="false">IF($B798="","",$B798+5)</f>
        <v/>
      </c>
      <c r="P798" s="20"/>
      <c r="Q798" s="22" t="str">
        <f aca="false">IF($B798="","",$B798+10)</f>
        <v/>
      </c>
      <c r="R798" s="20"/>
      <c r="S798" s="23" t="str">
        <f aca="true">IF($B798="","",IF(AND($N798="Y",$P798="Y",$R798="Y"),"Done",IF(OR(AND($M798&lt;=TODAY(),$N798&lt;&gt;"Y"),AND($O798&lt;=TODAY(),$P798&lt;&gt;"Y"),AND($Q798&lt;=TODAY(),$R798&lt;&gt;"Y")),"DUE","Scheduled")))</f>
        <v/>
      </c>
      <c r="T798" s="20"/>
      <c r="U798" s="23" t="str">
        <f aca="false">IF($B798="","",IF(OR($T798&lt;=2,$I798="Editorial"),"REDO",""))</f>
        <v/>
      </c>
      <c r="V798" s="18" t="str">
        <f aca="false">IF($S798&lt;&gt;"DUE","",COUNTIF($S$3:$S798,"DUE"))</f>
        <v/>
      </c>
    </row>
    <row r="799" customFormat="false" ht="15" hidden="false" customHeight="false" outlineLevel="0" collapsed="false">
      <c r="A799" s="12" t="str">
        <f aca="false">IF($F799="","",ROW()-2)</f>
        <v/>
      </c>
      <c r="B799" s="19"/>
      <c r="C799" s="20"/>
      <c r="D799" s="21"/>
      <c r="E799" s="21"/>
      <c r="F799" s="21"/>
      <c r="G799" s="20"/>
      <c r="H799" s="21"/>
      <c r="I799" s="20"/>
      <c r="J799" s="20"/>
      <c r="K799" s="21"/>
      <c r="L799" s="21"/>
      <c r="M799" s="22" t="str">
        <f aca="false">IF($B799="","",$B799+2)</f>
        <v/>
      </c>
      <c r="N799" s="20"/>
      <c r="O799" s="22" t="str">
        <f aca="false">IF($B799="","",$B799+5)</f>
        <v/>
      </c>
      <c r="P799" s="20"/>
      <c r="Q799" s="22" t="str">
        <f aca="false">IF($B799="","",$B799+10)</f>
        <v/>
      </c>
      <c r="R799" s="20"/>
      <c r="S799" s="23" t="str">
        <f aca="true">IF($B799="","",IF(AND($N799="Y",$P799="Y",$R799="Y"),"Done",IF(OR(AND($M799&lt;=TODAY(),$N799&lt;&gt;"Y"),AND($O799&lt;=TODAY(),$P799&lt;&gt;"Y"),AND($Q799&lt;=TODAY(),$R799&lt;&gt;"Y")),"DUE","Scheduled")))</f>
        <v/>
      </c>
      <c r="T799" s="20"/>
      <c r="U799" s="23" t="str">
        <f aca="false">IF($B799="","",IF(OR($T799&lt;=2,$I799="Editorial"),"REDO",""))</f>
        <v/>
      </c>
      <c r="V799" s="18" t="str">
        <f aca="false">IF($S799&lt;&gt;"DUE","",COUNTIF($S$3:$S799,"DUE"))</f>
        <v/>
      </c>
    </row>
    <row r="800" customFormat="false" ht="15" hidden="false" customHeight="false" outlineLevel="0" collapsed="false">
      <c r="A800" s="12" t="str">
        <f aca="false">IF($F800="","",ROW()-2)</f>
        <v/>
      </c>
      <c r="B800" s="19"/>
      <c r="C800" s="20"/>
      <c r="D800" s="21"/>
      <c r="E800" s="21"/>
      <c r="F800" s="21"/>
      <c r="G800" s="20"/>
      <c r="H800" s="21"/>
      <c r="I800" s="20"/>
      <c r="J800" s="20"/>
      <c r="K800" s="21"/>
      <c r="L800" s="21"/>
      <c r="M800" s="22" t="str">
        <f aca="false">IF($B800="","",$B800+2)</f>
        <v/>
      </c>
      <c r="N800" s="20"/>
      <c r="O800" s="22" t="str">
        <f aca="false">IF($B800="","",$B800+5)</f>
        <v/>
      </c>
      <c r="P800" s="20"/>
      <c r="Q800" s="22" t="str">
        <f aca="false">IF($B800="","",$B800+10)</f>
        <v/>
      </c>
      <c r="R800" s="20"/>
      <c r="S800" s="23" t="str">
        <f aca="true">IF($B800="","",IF(AND($N800="Y",$P800="Y",$R800="Y"),"Done",IF(OR(AND($M800&lt;=TODAY(),$N800&lt;&gt;"Y"),AND($O800&lt;=TODAY(),$P800&lt;&gt;"Y"),AND($Q800&lt;=TODAY(),$R800&lt;&gt;"Y")),"DUE","Scheduled")))</f>
        <v/>
      </c>
      <c r="T800" s="20"/>
      <c r="U800" s="23" t="str">
        <f aca="false">IF($B800="","",IF(OR($T800&lt;=2,$I800="Editorial"),"REDO",""))</f>
        <v/>
      </c>
      <c r="V800" s="18" t="str">
        <f aca="false">IF($S800&lt;&gt;"DUE","",COUNTIF($S$3:$S800,"DUE"))</f>
        <v/>
      </c>
    </row>
  </sheetData>
  <autoFilter ref="A2:U800"/>
  <mergeCells count="1">
    <mergeCell ref="A1:U1"/>
  </mergeCells>
  <conditionalFormatting sqref="S3:S800">
    <cfRule type="cellIs" priority="2" operator="equal" aboveAverage="0" equalAverage="0" bottom="0" percent="0" rank="0" text="" dxfId="7">
      <formula>"DUE"</formula>
    </cfRule>
    <cfRule type="cellIs" priority="3" operator="equal" aboveAverage="0" equalAverage="0" bottom="0" percent="0" rank="0" text="" dxfId="8">
      <formula>"Done"</formula>
    </cfRule>
  </conditionalFormatting>
  <conditionalFormatting sqref="U3:U800">
    <cfRule type="cellIs" priority="4" operator="equal" aboveAverage="0" equalAverage="0" bottom="0" percent="0" rank="0" text="" dxfId="9">
      <formula>"REDO"</formula>
    </cfRule>
  </conditionalFormatting>
  <dataValidations count="6">
    <dataValidation allowBlank="true" errorStyle="stop" operator="between" showDropDown="false" showErrorMessage="false" showInputMessage="false" sqref="G3:G800" type="list">
      <formula1>"Easy,Medium,Hard"</formula1>
      <formula2>0</formula2>
    </dataValidation>
    <dataValidation allowBlank="true" errorStyle="stop" operator="between" showDropDown="false" showErrorMessage="false" showInputMessage="false" sqref="I3:I800" type="list">
      <formula1>"Alone,Hint,Editorial"</formula1>
      <formula2>0</formula2>
    </dataValidation>
    <dataValidation allowBlank="true" errorStyle="stop" operator="between" showDropDown="false" showErrorMessage="false" showInputMessage="false" sqref="N3:N800" type="list">
      <formula1>"Y,N"</formula1>
      <formula2>0</formula2>
    </dataValidation>
    <dataValidation allowBlank="true" errorStyle="stop" operator="between" showDropDown="false" showErrorMessage="false" showInputMessage="false" sqref="P3:P800" type="list">
      <formula1>"Y,N"</formula1>
      <formula2>0</formula2>
    </dataValidation>
    <dataValidation allowBlank="true" errorStyle="stop" operator="between" showDropDown="false" showErrorMessage="false" showInputMessage="false" sqref="R3:R800" type="list">
      <formula1>"Y,N"</formula1>
      <formula2>0</formula2>
    </dataValidation>
    <dataValidation allowBlank="true" errorStyle="stop" operator="between" showDropDown="false" showErrorMessage="false" showInputMessage="false" sqref="T3:T8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7"/>
    <col collapsed="false" customWidth="true" hidden="false" outlineLevel="0" max="4" min="4" style="0" width="12"/>
    <col collapsed="false" customWidth="true" hidden="false" outlineLevel="0" max="5" min="5" style="0" width="7"/>
    <col collapsed="false" customWidth="true" hidden="false" outlineLevel="0" max="6" min="6" style="0" width="46"/>
    <col collapsed="false" customWidth="true" hidden="false" outlineLevel="0" max="7" min="7" style="0" width="7"/>
    <col collapsed="false" customWidth="true" hidden="false" outlineLevel="0" max="8" min="8" style="0" width="15"/>
  </cols>
  <sheetData>
    <row r="1" customFormat="false" ht="15" hidden="false" customHeight="false" outlineLevel="0" collapsed="false">
      <c r="A1" s="10" t="s">
        <v>101</v>
      </c>
      <c r="B1" s="10"/>
      <c r="C1" s="10"/>
      <c r="D1" s="10"/>
      <c r="E1" s="10"/>
      <c r="F1" s="10"/>
      <c r="G1" s="10"/>
      <c r="H1" s="10"/>
    </row>
    <row r="2" customFormat="false" ht="15" hidden="false" customHeight="false" outlineLevel="0" collapsed="false">
      <c r="A2" s="24" t="s">
        <v>102</v>
      </c>
      <c r="B2" s="25" t="n">
        <f aca="false">COUNTIF('Problem Log'!$S$3:$S$800,"DUE")</f>
        <v>0</v>
      </c>
      <c r="C2" s="2" t="s">
        <v>103</v>
      </c>
    </row>
    <row r="3" customFormat="false" ht="30" hidden="false" customHeight="true" outlineLevel="0" collapsed="false">
      <c r="A3" s="11" t="s">
        <v>70</v>
      </c>
      <c r="B3" s="11" t="s">
        <v>75</v>
      </c>
      <c r="C3" s="11" t="s">
        <v>73</v>
      </c>
      <c r="D3" s="11" t="s">
        <v>104</v>
      </c>
      <c r="E3" s="11" t="s">
        <v>76</v>
      </c>
      <c r="F3" s="11" t="s">
        <v>105</v>
      </c>
      <c r="G3" s="11" t="s">
        <v>106</v>
      </c>
      <c r="H3" s="11" t="s">
        <v>107</v>
      </c>
    </row>
    <row r="4" customFormat="false" ht="15" hidden="false" customHeight="false" outlineLevel="0" collapsed="false">
      <c r="A4" s="23" t="n">
        <v>1</v>
      </c>
      <c r="B4" s="18" t="str">
        <f aca="false">IFERROR(INDEX('Problem Log'!$F$3:$F$800,MATCH($A4,'Problem Log'!$V$3:$V$800,0)),"")</f>
        <v/>
      </c>
      <c r="C4" s="18" t="str">
        <f aca="false">IFERROR(INDEX('Problem Log'!$D$3:$D$800,MATCH($A4,'Problem Log'!$V$3:$V$800,0)),"")</f>
        <v/>
      </c>
      <c r="D4" s="26" t="str">
        <f aca="false">IFERROR(INDEX('Problem Log'!$B$3:$B$800,MATCH($A4,'Problem Log'!$V$3:$V$800,0)),"")</f>
        <v/>
      </c>
      <c r="E4" s="23" t="str">
        <f aca="false">IFERROR(INDEX('Problem Log'!$G$3:$G$800,MATCH($A4,'Problem Log'!$V$3:$V$800,0)),"")</f>
        <v/>
      </c>
      <c r="F4" s="18" t="str">
        <f aca="false">IFERROR(INDEX('Problem Log'!$K$3:$K$800,MATCH($A4,'Problem Log'!$V$3:$V$800,0)),"")</f>
        <v/>
      </c>
      <c r="G4" s="23" t="str">
        <f aca="false">IFERROR(INDEX('Problem Log'!$T$3:$T$800,MATCH($A4,'Problem Log'!$V$3:$V$800,0)),"")</f>
        <v/>
      </c>
      <c r="H4" s="20"/>
    </row>
    <row r="5" customFormat="false" ht="15" hidden="false" customHeight="false" outlineLevel="0" collapsed="false">
      <c r="A5" s="23" t="n">
        <v>2</v>
      </c>
      <c r="B5" s="18" t="str">
        <f aca="false">IFERROR(INDEX('Problem Log'!$F$3:$F$800,MATCH($A5,'Problem Log'!$V$3:$V$800,0)),"")</f>
        <v/>
      </c>
      <c r="C5" s="18" t="str">
        <f aca="false">IFERROR(INDEX('Problem Log'!$D$3:$D$800,MATCH($A5,'Problem Log'!$V$3:$V$800,0)),"")</f>
        <v/>
      </c>
      <c r="D5" s="26" t="str">
        <f aca="false">IFERROR(INDEX('Problem Log'!$B$3:$B$800,MATCH($A5,'Problem Log'!$V$3:$V$800,0)),"")</f>
        <v/>
      </c>
      <c r="E5" s="23" t="str">
        <f aca="false">IFERROR(INDEX('Problem Log'!$G$3:$G$800,MATCH($A5,'Problem Log'!$V$3:$V$800,0)),"")</f>
        <v/>
      </c>
      <c r="F5" s="18" t="str">
        <f aca="false">IFERROR(INDEX('Problem Log'!$K$3:$K$800,MATCH($A5,'Problem Log'!$V$3:$V$800,0)),"")</f>
        <v/>
      </c>
      <c r="G5" s="23" t="str">
        <f aca="false">IFERROR(INDEX('Problem Log'!$T$3:$T$800,MATCH($A5,'Problem Log'!$V$3:$V$800,0)),"")</f>
        <v/>
      </c>
      <c r="H5" s="20"/>
    </row>
    <row r="6" customFormat="false" ht="15" hidden="false" customHeight="false" outlineLevel="0" collapsed="false">
      <c r="A6" s="23" t="n">
        <v>3</v>
      </c>
      <c r="B6" s="18" t="str">
        <f aca="false">IFERROR(INDEX('Problem Log'!$F$3:$F$800,MATCH($A6,'Problem Log'!$V$3:$V$800,0)),"")</f>
        <v/>
      </c>
      <c r="C6" s="18" t="str">
        <f aca="false">IFERROR(INDEX('Problem Log'!$D$3:$D$800,MATCH($A6,'Problem Log'!$V$3:$V$800,0)),"")</f>
        <v/>
      </c>
      <c r="D6" s="26" t="str">
        <f aca="false">IFERROR(INDEX('Problem Log'!$B$3:$B$800,MATCH($A6,'Problem Log'!$V$3:$V$800,0)),"")</f>
        <v/>
      </c>
      <c r="E6" s="23" t="str">
        <f aca="false">IFERROR(INDEX('Problem Log'!$G$3:$G$800,MATCH($A6,'Problem Log'!$V$3:$V$800,0)),"")</f>
        <v/>
      </c>
      <c r="F6" s="18" t="str">
        <f aca="false">IFERROR(INDEX('Problem Log'!$K$3:$K$800,MATCH($A6,'Problem Log'!$V$3:$V$800,0)),"")</f>
        <v/>
      </c>
      <c r="G6" s="23" t="str">
        <f aca="false">IFERROR(INDEX('Problem Log'!$T$3:$T$800,MATCH($A6,'Problem Log'!$V$3:$V$800,0)),"")</f>
        <v/>
      </c>
      <c r="H6" s="20"/>
    </row>
    <row r="7" customFormat="false" ht="15" hidden="false" customHeight="false" outlineLevel="0" collapsed="false">
      <c r="A7" s="23" t="n">
        <v>4</v>
      </c>
      <c r="B7" s="18" t="str">
        <f aca="false">IFERROR(INDEX('Problem Log'!$F$3:$F$800,MATCH($A7,'Problem Log'!$V$3:$V$800,0)),"")</f>
        <v/>
      </c>
      <c r="C7" s="18" t="str">
        <f aca="false">IFERROR(INDEX('Problem Log'!$D$3:$D$800,MATCH($A7,'Problem Log'!$V$3:$V$800,0)),"")</f>
        <v/>
      </c>
      <c r="D7" s="26" t="str">
        <f aca="false">IFERROR(INDEX('Problem Log'!$B$3:$B$800,MATCH($A7,'Problem Log'!$V$3:$V$800,0)),"")</f>
        <v/>
      </c>
      <c r="E7" s="23" t="str">
        <f aca="false">IFERROR(INDEX('Problem Log'!$G$3:$G$800,MATCH($A7,'Problem Log'!$V$3:$V$800,0)),"")</f>
        <v/>
      </c>
      <c r="F7" s="18" t="str">
        <f aca="false">IFERROR(INDEX('Problem Log'!$K$3:$K$800,MATCH($A7,'Problem Log'!$V$3:$V$800,0)),"")</f>
        <v/>
      </c>
      <c r="G7" s="23" t="str">
        <f aca="false">IFERROR(INDEX('Problem Log'!$T$3:$T$800,MATCH($A7,'Problem Log'!$V$3:$V$800,0)),"")</f>
        <v/>
      </c>
      <c r="H7" s="20"/>
    </row>
    <row r="8" customFormat="false" ht="15" hidden="false" customHeight="false" outlineLevel="0" collapsed="false">
      <c r="A8" s="23" t="n">
        <v>5</v>
      </c>
      <c r="B8" s="18" t="str">
        <f aca="false">IFERROR(INDEX('Problem Log'!$F$3:$F$800,MATCH($A8,'Problem Log'!$V$3:$V$800,0)),"")</f>
        <v/>
      </c>
      <c r="C8" s="18" t="str">
        <f aca="false">IFERROR(INDEX('Problem Log'!$D$3:$D$800,MATCH($A8,'Problem Log'!$V$3:$V$800,0)),"")</f>
        <v/>
      </c>
      <c r="D8" s="26" t="str">
        <f aca="false">IFERROR(INDEX('Problem Log'!$B$3:$B$800,MATCH($A8,'Problem Log'!$V$3:$V$800,0)),"")</f>
        <v/>
      </c>
      <c r="E8" s="23" t="str">
        <f aca="false">IFERROR(INDEX('Problem Log'!$G$3:$G$800,MATCH($A8,'Problem Log'!$V$3:$V$800,0)),"")</f>
        <v/>
      </c>
      <c r="F8" s="18" t="str">
        <f aca="false">IFERROR(INDEX('Problem Log'!$K$3:$K$800,MATCH($A8,'Problem Log'!$V$3:$V$800,0)),"")</f>
        <v/>
      </c>
      <c r="G8" s="23" t="str">
        <f aca="false">IFERROR(INDEX('Problem Log'!$T$3:$T$800,MATCH($A8,'Problem Log'!$V$3:$V$800,0)),"")</f>
        <v/>
      </c>
      <c r="H8" s="20"/>
    </row>
    <row r="9" customFormat="false" ht="15" hidden="false" customHeight="false" outlineLevel="0" collapsed="false">
      <c r="A9" s="23" t="n">
        <v>6</v>
      </c>
      <c r="B9" s="18" t="str">
        <f aca="false">IFERROR(INDEX('Problem Log'!$F$3:$F$800,MATCH($A9,'Problem Log'!$V$3:$V$800,0)),"")</f>
        <v/>
      </c>
      <c r="C9" s="18" t="str">
        <f aca="false">IFERROR(INDEX('Problem Log'!$D$3:$D$800,MATCH($A9,'Problem Log'!$V$3:$V$800,0)),"")</f>
        <v/>
      </c>
      <c r="D9" s="26" t="str">
        <f aca="false">IFERROR(INDEX('Problem Log'!$B$3:$B$800,MATCH($A9,'Problem Log'!$V$3:$V$800,0)),"")</f>
        <v/>
      </c>
      <c r="E9" s="23" t="str">
        <f aca="false">IFERROR(INDEX('Problem Log'!$G$3:$G$800,MATCH($A9,'Problem Log'!$V$3:$V$800,0)),"")</f>
        <v/>
      </c>
      <c r="F9" s="18" t="str">
        <f aca="false">IFERROR(INDEX('Problem Log'!$K$3:$K$800,MATCH($A9,'Problem Log'!$V$3:$V$800,0)),"")</f>
        <v/>
      </c>
      <c r="G9" s="23" t="str">
        <f aca="false">IFERROR(INDEX('Problem Log'!$T$3:$T$800,MATCH($A9,'Problem Log'!$V$3:$V$800,0)),"")</f>
        <v/>
      </c>
      <c r="H9" s="20"/>
    </row>
    <row r="10" customFormat="false" ht="15" hidden="false" customHeight="false" outlineLevel="0" collapsed="false">
      <c r="A10" s="23" t="n">
        <v>7</v>
      </c>
      <c r="B10" s="18" t="str">
        <f aca="false">IFERROR(INDEX('Problem Log'!$F$3:$F$800,MATCH($A10,'Problem Log'!$V$3:$V$800,0)),"")</f>
        <v/>
      </c>
      <c r="C10" s="18" t="str">
        <f aca="false">IFERROR(INDEX('Problem Log'!$D$3:$D$800,MATCH($A10,'Problem Log'!$V$3:$V$800,0)),"")</f>
        <v/>
      </c>
      <c r="D10" s="26" t="str">
        <f aca="false">IFERROR(INDEX('Problem Log'!$B$3:$B$800,MATCH($A10,'Problem Log'!$V$3:$V$800,0)),"")</f>
        <v/>
      </c>
      <c r="E10" s="23" t="str">
        <f aca="false">IFERROR(INDEX('Problem Log'!$G$3:$G$800,MATCH($A10,'Problem Log'!$V$3:$V$800,0)),"")</f>
        <v/>
      </c>
      <c r="F10" s="18" t="str">
        <f aca="false">IFERROR(INDEX('Problem Log'!$K$3:$K$800,MATCH($A10,'Problem Log'!$V$3:$V$800,0)),"")</f>
        <v/>
      </c>
      <c r="G10" s="23" t="str">
        <f aca="false">IFERROR(INDEX('Problem Log'!$T$3:$T$800,MATCH($A10,'Problem Log'!$V$3:$V$800,0)),"")</f>
        <v/>
      </c>
      <c r="H10" s="20"/>
    </row>
    <row r="11" customFormat="false" ht="15" hidden="false" customHeight="false" outlineLevel="0" collapsed="false">
      <c r="A11" s="23" t="n">
        <v>8</v>
      </c>
      <c r="B11" s="18" t="str">
        <f aca="false">IFERROR(INDEX('Problem Log'!$F$3:$F$800,MATCH($A11,'Problem Log'!$V$3:$V$800,0)),"")</f>
        <v/>
      </c>
      <c r="C11" s="18" t="str">
        <f aca="false">IFERROR(INDEX('Problem Log'!$D$3:$D$800,MATCH($A11,'Problem Log'!$V$3:$V$800,0)),"")</f>
        <v/>
      </c>
      <c r="D11" s="26" t="str">
        <f aca="false">IFERROR(INDEX('Problem Log'!$B$3:$B$800,MATCH($A11,'Problem Log'!$V$3:$V$800,0)),"")</f>
        <v/>
      </c>
      <c r="E11" s="23" t="str">
        <f aca="false">IFERROR(INDEX('Problem Log'!$G$3:$G$800,MATCH($A11,'Problem Log'!$V$3:$V$800,0)),"")</f>
        <v/>
      </c>
      <c r="F11" s="18" t="str">
        <f aca="false">IFERROR(INDEX('Problem Log'!$K$3:$K$800,MATCH($A11,'Problem Log'!$V$3:$V$800,0)),"")</f>
        <v/>
      </c>
      <c r="G11" s="23" t="str">
        <f aca="false">IFERROR(INDEX('Problem Log'!$T$3:$T$800,MATCH($A11,'Problem Log'!$V$3:$V$800,0)),"")</f>
        <v/>
      </c>
      <c r="H11" s="20"/>
    </row>
    <row r="12" customFormat="false" ht="15" hidden="false" customHeight="false" outlineLevel="0" collapsed="false">
      <c r="A12" s="23" t="n">
        <v>9</v>
      </c>
      <c r="B12" s="18" t="str">
        <f aca="false">IFERROR(INDEX('Problem Log'!$F$3:$F$800,MATCH($A12,'Problem Log'!$V$3:$V$800,0)),"")</f>
        <v/>
      </c>
      <c r="C12" s="18" t="str">
        <f aca="false">IFERROR(INDEX('Problem Log'!$D$3:$D$800,MATCH($A12,'Problem Log'!$V$3:$V$800,0)),"")</f>
        <v/>
      </c>
      <c r="D12" s="26" t="str">
        <f aca="false">IFERROR(INDEX('Problem Log'!$B$3:$B$800,MATCH($A12,'Problem Log'!$V$3:$V$800,0)),"")</f>
        <v/>
      </c>
      <c r="E12" s="23" t="str">
        <f aca="false">IFERROR(INDEX('Problem Log'!$G$3:$G$800,MATCH($A12,'Problem Log'!$V$3:$V$800,0)),"")</f>
        <v/>
      </c>
      <c r="F12" s="18" t="str">
        <f aca="false">IFERROR(INDEX('Problem Log'!$K$3:$K$800,MATCH($A12,'Problem Log'!$V$3:$V$800,0)),"")</f>
        <v/>
      </c>
      <c r="G12" s="23" t="str">
        <f aca="false">IFERROR(INDEX('Problem Log'!$T$3:$T$800,MATCH($A12,'Problem Log'!$V$3:$V$800,0)),"")</f>
        <v/>
      </c>
      <c r="H12" s="20"/>
    </row>
    <row r="13" customFormat="false" ht="15" hidden="false" customHeight="false" outlineLevel="0" collapsed="false">
      <c r="A13" s="23" t="n">
        <v>10</v>
      </c>
      <c r="B13" s="18" t="str">
        <f aca="false">IFERROR(INDEX('Problem Log'!$F$3:$F$800,MATCH($A13,'Problem Log'!$V$3:$V$800,0)),"")</f>
        <v/>
      </c>
      <c r="C13" s="18" t="str">
        <f aca="false">IFERROR(INDEX('Problem Log'!$D$3:$D$800,MATCH($A13,'Problem Log'!$V$3:$V$800,0)),"")</f>
        <v/>
      </c>
      <c r="D13" s="26" t="str">
        <f aca="false">IFERROR(INDEX('Problem Log'!$B$3:$B$800,MATCH($A13,'Problem Log'!$V$3:$V$800,0)),"")</f>
        <v/>
      </c>
      <c r="E13" s="23" t="str">
        <f aca="false">IFERROR(INDEX('Problem Log'!$G$3:$G$800,MATCH($A13,'Problem Log'!$V$3:$V$800,0)),"")</f>
        <v/>
      </c>
      <c r="F13" s="18" t="str">
        <f aca="false">IFERROR(INDEX('Problem Log'!$K$3:$K$800,MATCH($A13,'Problem Log'!$V$3:$V$800,0)),"")</f>
        <v/>
      </c>
      <c r="G13" s="23" t="str">
        <f aca="false">IFERROR(INDEX('Problem Log'!$T$3:$T$800,MATCH($A13,'Problem Log'!$V$3:$V$800,0)),"")</f>
        <v/>
      </c>
      <c r="H13" s="20"/>
    </row>
    <row r="14" customFormat="false" ht="15" hidden="false" customHeight="false" outlineLevel="0" collapsed="false">
      <c r="A14" s="23" t="n">
        <v>11</v>
      </c>
      <c r="B14" s="18" t="str">
        <f aca="false">IFERROR(INDEX('Problem Log'!$F$3:$F$800,MATCH($A14,'Problem Log'!$V$3:$V$800,0)),"")</f>
        <v/>
      </c>
      <c r="C14" s="18" t="str">
        <f aca="false">IFERROR(INDEX('Problem Log'!$D$3:$D$800,MATCH($A14,'Problem Log'!$V$3:$V$800,0)),"")</f>
        <v/>
      </c>
      <c r="D14" s="26" t="str">
        <f aca="false">IFERROR(INDEX('Problem Log'!$B$3:$B$800,MATCH($A14,'Problem Log'!$V$3:$V$800,0)),"")</f>
        <v/>
      </c>
      <c r="E14" s="23" t="str">
        <f aca="false">IFERROR(INDEX('Problem Log'!$G$3:$G$800,MATCH($A14,'Problem Log'!$V$3:$V$800,0)),"")</f>
        <v/>
      </c>
      <c r="F14" s="18" t="str">
        <f aca="false">IFERROR(INDEX('Problem Log'!$K$3:$K$800,MATCH($A14,'Problem Log'!$V$3:$V$800,0)),"")</f>
        <v/>
      </c>
      <c r="G14" s="23" t="str">
        <f aca="false">IFERROR(INDEX('Problem Log'!$T$3:$T$800,MATCH($A14,'Problem Log'!$V$3:$V$800,0)),"")</f>
        <v/>
      </c>
      <c r="H14" s="20"/>
    </row>
    <row r="15" customFormat="false" ht="15" hidden="false" customHeight="false" outlineLevel="0" collapsed="false">
      <c r="A15" s="23" t="n">
        <v>12</v>
      </c>
      <c r="B15" s="18" t="str">
        <f aca="false">IFERROR(INDEX('Problem Log'!$F$3:$F$800,MATCH($A15,'Problem Log'!$V$3:$V$800,0)),"")</f>
        <v/>
      </c>
      <c r="C15" s="18" t="str">
        <f aca="false">IFERROR(INDEX('Problem Log'!$D$3:$D$800,MATCH($A15,'Problem Log'!$V$3:$V$800,0)),"")</f>
        <v/>
      </c>
      <c r="D15" s="26" t="str">
        <f aca="false">IFERROR(INDEX('Problem Log'!$B$3:$B$800,MATCH($A15,'Problem Log'!$V$3:$V$800,0)),"")</f>
        <v/>
      </c>
      <c r="E15" s="23" t="str">
        <f aca="false">IFERROR(INDEX('Problem Log'!$G$3:$G$800,MATCH($A15,'Problem Log'!$V$3:$V$800,0)),"")</f>
        <v/>
      </c>
      <c r="F15" s="18" t="str">
        <f aca="false">IFERROR(INDEX('Problem Log'!$K$3:$K$800,MATCH($A15,'Problem Log'!$V$3:$V$800,0)),"")</f>
        <v/>
      </c>
      <c r="G15" s="23" t="str">
        <f aca="false">IFERROR(INDEX('Problem Log'!$T$3:$T$800,MATCH($A15,'Problem Log'!$V$3:$V$800,0)),"")</f>
        <v/>
      </c>
      <c r="H15" s="20"/>
    </row>
    <row r="16" customFormat="false" ht="15" hidden="false" customHeight="false" outlineLevel="0" collapsed="false">
      <c r="A16" s="23" t="n">
        <v>13</v>
      </c>
      <c r="B16" s="18" t="str">
        <f aca="false">IFERROR(INDEX('Problem Log'!$F$3:$F$800,MATCH($A16,'Problem Log'!$V$3:$V$800,0)),"")</f>
        <v/>
      </c>
      <c r="C16" s="18" t="str">
        <f aca="false">IFERROR(INDEX('Problem Log'!$D$3:$D$800,MATCH($A16,'Problem Log'!$V$3:$V$800,0)),"")</f>
        <v/>
      </c>
      <c r="D16" s="26" t="str">
        <f aca="false">IFERROR(INDEX('Problem Log'!$B$3:$B$800,MATCH($A16,'Problem Log'!$V$3:$V$800,0)),"")</f>
        <v/>
      </c>
      <c r="E16" s="23" t="str">
        <f aca="false">IFERROR(INDEX('Problem Log'!$G$3:$G$800,MATCH($A16,'Problem Log'!$V$3:$V$800,0)),"")</f>
        <v/>
      </c>
      <c r="F16" s="18" t="str">
        <f aca="false">IFERROR(INDEX('Problem Log'!$K$3:$K$800,MATCH($A16,'Problem Log'!$V$3:$V$800,0)),"")</f>
        <v/>
      </c>
      <c r="G16" s="23" t="str">
        <f aca="false">IFERROR(INDEX('Problem Log'!$T$3:$T$800,MATCH($A16,'Problem Log'!$V$3:$V$800,0)),"")</f>
        <v/>
      </c>
      <c r="H16" s="20"/>
    </row>
    <row r="17" customFormat="false" ht="15" hidden="false" customHeight="false" outlineLevel="0" collapsed="false">
      <c r="A17" s="23" t="n">
        <v>14</v>
      </c>
      <c r="B17" s="18" t="str">
        <f aca="false">IFERROR(INDEX('Problem Log'!$F$3:$F$800,MATCH($A17,'Problem Log'!$V$3:$V$800,0)),"")</f>
        <v/>
      </c>
      <c r="C17" s="18" t="str">
        <f aca="false">IFERROR(INDEX('Problem Log'!$D$3:$D$800,MATCH($A17,'Problem Log'!$V$3:$V$800,0)),"")</f>
        <v/>
      </c>
      <c r="D17" s="26" t="str">
        <f aca="false">IFERROR(INDEX('Problem Log'!$B$3:$B$800,MATCH($A17,'Problem Log'!$V$3:$V$800,0)),"")</f>
        <v/>
      </c>
      <c r="E17" s="23" t="str">
        <f aca="false">IFERROR(INDEX('Problem Log'!$G$3:$G$800,MATCH($A17,'Problem Log'!$V$3:$V$800,0)),"")</f>
        <v/>
      </c>
      <c r="F17" s="18" t="str">
        <f aca="false">IFERROR(INDEX('Problem Log'!$K$3:$K$800,MATCH($A17,'Problem Log'!$V$3:$V$800,0)),"")</f>
        <v/>
      </c>
      <c r="G17" s="23" t="str">
        <f aca="false">IFERROR(INDEX('Problem Log'!$T$3:$T$800,MATCH($A17,'Problem Log'!$V$3:$V$800,0)),"")</f>
        <v/>
      </c>
      <c r="H17" s="20"/>
    </row>
    <row r="18" customFormat="false" ht="15" hidden="false" customHeight="false" outlineLevel="0" collapsed="false">
      <c r="A18" s="23" t="n">
        <v>15</v>
      </c>
      <c r="B18" s="18" t="str">
        <f aca="false">IFERROR(INDEX('Problem Log'!$F$3:$F$800,MATCH($A18,'Problem Log'!$V$3:$V$800,0)),"")</f>
        <v/>
      </c>
      <c r="C18" s="18" t="str">
        <f aca="false">IFERROR(INDEX('Problem Log'!$D$3:$D$800,MATCH($A18,'Problem Log'!$V$3:$V$800,0)),"")</f>
        <v/>
      </c>
      <c r="D18" s="26" t="str">
        <f aca="false">IFERROR(INDEX('Problem Log'!$B$3:$B$800,MATCH($A18,'Problem Log'!$V$3:$V$800,0)),"")</f>
        <v/>
      </c>
      <c r="E18" s="23" t="str">
        <f aca="false">IFERROR(INDEX('Problem Log'!$G$3:$G$800,MATCH($A18,'Problem Log'!$V$3:$V$800,0)),"")</f>
        <v/>
      </c>
      <c r="F18" s="18" t="str">
        <f aca="false">IFERROR(INDEX('Problem Log'!$K$3:$K$800,MATCH($A18,'Problem Log'!$V$3:$V$800,0)),"")</f>
        <v/>
      </c>
      <c r="G18" s="23" t="str">
        <f aca="false">IFERROR(INDEX('Problem Log'!$T$3:$T$800,MATCH($A18,'Problem Log'!$V$3:$V$800,0)),"")</f>
        <v/>
      </c>
      <c r="H18" s="20"/>
    </row>
    <row r="19" customFormat="false" ht="15" hidden="false" customHeight="false" outlineLevel="0" collapsed="false">
      <c r="A19" s="23" t="n">
        <v>16</v>
      </c>
      <c r="B19" s="18" t="str">
        <f aca="false">IFERROR(INDEX('Problem Log'!$F$3:$F$800,MATCH($A19,'Problem Log'!$V$3:$V$800,0)),"")</f>
        <v/>
      </c>
      <c r="C19" s="18" t="str">
        <f aca="false">IFERROR(INDEX('Problem Log'!$D$3:$D$800,MATCH($A19,'Problem Log'!$V$3:$V$800,0)),"")</f>
        <v/>
      </c>
      <c r="D19" s="26" t="str">
        <f aca="false">IFERROR(INDEX('Problem Log'!$B$3:$B$800,MATCH($A19,'Problem Log'!$V$3:$V$800,0)),"")</f>
        <v/>
      </c>
      <c r="E19" s="23" t="str">
        <f aca="false">IFERROR(INDEX('Problem Log'!$G$3:$G$800,MATCH($A19,'Problem Log'!$V$3:$V$800,0)),"")</f>
        <v/>
      </c>
      <c r="F19" s="18" t="str">
        <f aca="false">IFERROR(INDEX('Problem Log'!$K$3:$K$800,MATCH($A19,'Problem Log'!$V$3:$V$800,0)),"")</f>
        <v/>
      </c>
      <c r="G19" s="23" t="str">
        <f aca="false">IFERROR(INDEX('Problem Log'!$T$3:$T$800,MATCH($A19,'Problem Log'!$V$3:$V$800,0)),"")</f>
        <v/>
      </c>
      <c r="H19" s="20"/>
    </row>
    <row r="20" customFormat="false" ht="15" hidden="false" customHeight="false" outlineLevel="0" collapsed="false">
      <c r="A20" s="23" t="n">
        <v>17</v>
      </c>
      <c r="B20" s="18" t="str">
        <f aca="false">IFERROR(INDEX('Problem Log'!$F$3:$F$800,MATCH($A20,'Problem Log'!$V$3:$V$800,0)),"")</f>
        <v/>
      </c>
      <c r="C20" s="18" t="str">
        <f aca="false">IFERROR(INDEX('Problem Log'!$D$3:$D$800,MATCH($A20,'Problem Log'!$V$3:$V$800,0)),"")</f>
        <v/>
      </c>
      <c r="D20" s="26" t="str">
        <f aca="false">IFERROR(INDEX('Problem Log'!$B$3:$B$800,MATCH($A20,'Problem Log'!$V$3:$V$800,0)),"")</f>
        <v/>
      </c>
      <c r="E20" s="23" t="str">
        <f aca="false">IFERROR(INDEX('Problem Log'!$G$3:$G$800,MATCH($A20,'Problem Log'!$V$3:$V$800,0)),"")</f>
        <v/>
      </c>
      <c r="F20" s="18" t="str">
        <f aca="false">IFERROR(INDEX('Problem Log'!$K$3:$K$800,MATCH($A20,'Problem Log'!$V$3:$V$800,0)),"")</f>
        <v/>
      </c>
      <c r="G20" s="23" t="str">
        <f aca="false">IFERROR(INDEX('Problem Log'!$T$3:$T$800,MATCH($A20,'Problem Log'!$V$3:$V$800,0)),"")</f>
        <v/>
      </c>
      <c r="H20" s="20"/>
    </row>
    <row r="21" customFormat="false" ht="15" hidden="false" customHeight="false" outlineLevel="0" collapsed="false">
      <c r="A21" s="23" t="n">
        <v>18</v>
      </c>
      <c r="B21" s="18" t="str">
        <f aca="false">IFERROR(INDEX('Problem Log'!$F$3:$F$800,MATCH($A21,'Problem Log'!$V$3:$V$800,0)),"")</f>
        <v/>
      </c>
      <c r="C21" s="18" t="str">
        <f aca="false">IFERROR(INDEX('Problem Log'!$D$3:$D$800,MATCH($A21,'Problem Log'!$V$3:$V$800,0)),"")</f>
        <v/>
      </c>
      <c r="D21" s="26" t="str">
        <f aca="false">IFERROR(INDEX('Problem Log'!$B$3:$B$800,MATCH($A21,'Problem Log'!$V$3:$V$800,0)),"")</f>
        <v/>
      </c>
      <c r="E21" s="23" t="str">
        <f aca="false">IFERROR(INDEX('Problem Log'!$G$3:$G$800,MATCH($A21,'Problem Log'!$V$3:$V$800,0)),"")</f>
        <v/>
      </c>
      <c r="F21" s="18" t="str">
        <f aca="false">IFERROR(INDEX('Problem Log'!$K$3:$K$800,MATCH($A21,'Problem Log'!$V$3:$V$800,0)),"")</f>
        <v/>
      </c>
      <c r="G21" s="23" t="str">
        <f aca="false">IFERROR(INDEX('Problem Log'!$T$3:$T$800,MATCH($A21,'Problem Log'!$V$3:$V$800,0)),"")</f>
        <v/>
      </c>
      <c r="H21" s="20"/>
    </row>
    <row r="22" customFormat="false" ht="15" hidden="false" customHeight="false" outlineLevel="0" collapsed="false">
      <c r="A22" s="23" t="n">
        <v>19</v>
      </c>
      <c r="B22" s="18" t="str">
        <f aca="false">IFERROR(INDEX('Problem Log'!$F$3:$F$800,MATCH($A22,'Problem Log'!$V$3:$V$800,0)),"")</f>
        <v/>
      </c>
      <c r="C22" s="18" t="str">
        <f aca="false">IFERROR(INDEX('Problem Log'!$D$3:$D$800,MATCH($A22,'Problem Log'!$V$3:$V$800,0)),"")</f>
        <v/>
      </c>
      <c r="D22" s="26" t="str">
        <f aca="false">IFERROR(INDEX('Problem Log'!$B$3:$B$800,MATCH($A22,'Problem Log'!$V$3:$V$800,0)),"")</f>
        <v/>
      </c>
      <c r="E22" s="23" t="str">
        <f aca="false">IFERROR(INDEX('Problem Log'!$G$3:$G$800,MATCH($A22,'Problem Log'!$V$3:$V$800,0)),"")</f>
        <v/>
      </c>
      <c r="F22" s="18" t="str">
        <f aca="false">IFERROR(INDEX('Problem Log'!$K$3:$K$800,MATCH($A22,'Problem Log'!$V$3:$V$800,0)),"")</f>
        <v/>
      </c>
      <c r="G22" s="23" t="str">
        <f aca="false">IFERROR(INDEX('Problem Log'!$T$3:$T$800,MATCH($A22,'Problem Log'!$V$3:$V$800,0)),"")</f>
        <v/>
      </c>
      <c r="H22" s="20"/>
    </row>
    <row r="23" customFormat="false" ht="15" hidden="false" customHeight="false" outlineLevel="0" collapsed="false">
      <c r="A23" s="23" t="n">
        <v>20</v>
      </c>
      <c r="B23" s="18" t="str">
        <f aca="false">IFERROR(INDEX('Problem Log'!$F$3:$F$800,MATCH($A23,'Problem Log'!$V$3:$V$800,0)),"")</f>
        <v/>
      </c>
      <c r="C23" s="18" t="str">
        <f aca="false">IFERROR(INDEX('Problem Log'!$D$3:$D$800,MATCH($A23,'Problem Log'!$V$3:$V$800,0)),"")</f>
        <v/>
      </c>
      <c r="D23" s="26" t="str">
        <f aca="false">IFERROR(INDEX('Problem Log'!$B$3:$B$800,MATCH($A23,'Problem Log'!$V$3:$V$800,0)),"")</f>
        <v/>
      </c>
      <c r="E23" s="23" t="str">
        <f aca="false">IFERROR(INDEX('Problem Log'!$G$3:$G$800,MATCH($A23,'Problem Log'!$V$3:$V$800,0)),"")</f>
        <v/>
      </c>
      <c r="F23" s="18" t="str">
        <f aca="false">IFERROR(INDEX('Problem Log'!$K$3:$K$800,MATCH($A23,'Problem Log'!$V$3:$V$800,0)),"")</f>
        <v/>
      </c>
      <c r="G23" s="23" t="str">
        <f aca="false">IFERROR(INDEX('Problem Log'!$T$3:$T$800,MATCH($A23,'Problem Log'!$V$3:$V$800,0)),"")</f>
        <v/>
      </c>
      <c r="H23" s="20"/>
    </row>
    <row r="24" customFormat="false" ht="15" hidden="false" customHeight="false" outlineLevel="0" collapsed="false">
      <c r="A24" s="23" t="n">
        <v>21</v>
      </c>
      <c r="B24" s="18" t="str">
        <f aca="false">IFERROR(INDEX('Problem Log'!$F$3:$F$800,MATCH($A24,'Problem Log'!$V$3:$V$800,0)),"")</f>
        <v/>
      </c>
      <c r="C24" s="18" t="str">
        <f aca="false">IFERROR(INDEX('Problem Log'!$D$3:$D$800,MATCH($A24,'Problem Log'!$V$3:$V$800,0)),"")</f>
        <v/>
      </c>
      <c r="D24" s="26" t="str">
        <f aca="false">IFERROR(INDEX('Problem Log'!$B$3:$B$800,MATCH($A24,'Problem Log'!$V$3:$V$800,0)),"")</f>
        <v/>
      </c>
      <c r="E24" s="23" t="str">
        <f aca="false">IFERROR(INDEX('Problem Log'!$G$3:$G$800,MATCH($A24,'Problem Log'!$V$3:$V$800,0)),"")</f>
        <v/>
      </c>
      <c r="F24" s="18" t="str">
        <f aca="false">IFERROR(INDEX('Problem Log'!$K$3:$K$800,MATCH($A24,'Problem Log'!$V$3:$V$800,0)),"")</f>
        <v/>
      </c>
      <c r="G24" s="23" t="str">
        <f aca="false">IFERROR(INDEX('Problem Log'!$T$3:$T$800,MATCH($A24,'Problem Log'!$V$3:$V$800,0)),"")</f>
        <v/>
      </c>
      <c r="H24" s="20"/>
    </row>
    <row r="25" customFormat="false" ht="15" hidden="false" customHeight="false" outlineLevel="0" collapsed="false">
      <c r="A25" s="23" t="n">
        <v>22</v>
      </c>
      <c r="B25" s="18" t="str">
        <f aca="false">IFERROR(INDEX('Problem Log'!$F$3:$F$800,MATCH($A25,'Problem Log'!$V$3:$V$800,0)),"")</f>
        <v/>
      </c>
      <c r="C25" s="18" t="str">
        <f aca="false">IFERROR(INDEX('Problem Log'!$D$3:$D$800,MATCH($A25,'Problem Log'!$V$3:$V$800,0)),"")</f>
        <v/>
      </c>
      <c r="D25" s="26" t="str">
        <f aca="false">IFERROR(INDEX('Problem Log'!$B$3:$B$800,MATCH($A25,'Problem Log'!$V$3:$V$800,0)),"")</f>
        <v/>
      </c>
      <c r="E25" s="23" t="str">
        <f aca="false">IFERROR(INDEX('Problem Log'!$G$3:$G$800,MATCH($A25,'Problem Log'!$V$3:$V$800,0)),"")</f>
        <v/>
      </c>
      <c r="F25" s="18" t="str">
        <f aca="false">IFERROR(INDEX('Problem Log'!$K$3:$K$800,MATCH($A25,'Problem Log'!$V$3:$V$800,0)),"")</f>
        <v/>
      </c>
      <c r="G25" s="23" t="str">
        <f aca="false">IFERROR(INDEX('Problem Log'!$T$3:$T$800,MATCH($A25,'Problem Log'!$V$3:$V$800,0)),"")</f>
        <v/>
      </c>
      <c r="H25" s="20"/>
    </row>
    <row r="26" customFormat="false" ht="15" hidden="false" customHeight="false" outlineLevel="0" collapsed="false">
      <c r="A26" s="23" t="n">
        <v>23</v>
      </c>
      <c r="B26" s="18" t="str">
        <f aca="false">IFERROR(INDEX('Problem Log'!$F$3:$F$800,MATCH($A26,'Problem Log'!$V$3:$V$800,0)),"")</f>
        <v/>
      </c>
      <c r="C26" s="18" t="str">
        <f aca="false">IFERROR(INDEX('Problem Log'!$D$3:$D$800,MATCH($A26,'Problem Log'!$V$3:$V$800,0)),"")</f>
        <v/>
      </c>
      <c r="D26" s="26" t="str">
        <f aca="false">IFERROR(INDEX('Problem Log'!$B$3:$B$800,MATCH($A26,'Problem Log'!$V$3:$V$800,0)),"")</f>
        <v/>
      </c>
      <c r="E26" s="23" t="str">
        <f aca="false">IFERROR(INDEX('Problem Log'!$G$3:$G$800,MATCH($A26,'Problem Log'!$V$3:$V$800,0)),"")</f>
        <v/>
      </c>
      <c r="F26" s="18" t="str">
        <f aca="false">IFERROR(INDEX('Problem Log'!$K$3:$K$800,MATCH($A26,'Problem Log'!$V$3:$V$800,0)),"")</f>
        <v/>
      </c>
      <c r="G26" s="23" t="str">
        <f aca="false">IFERROR(INDEX('Problem Log'!$T$3:$T$800,MATCH($A26,'Problem Log'!$V$3:$V$800,0)),"")</f>
        <v/>
      </c>
      <c r="H26" s="20"/>
    </row>
    <row r="27" customFormat="false" ht="15" hidden="false" customHeight="false" outlineLevel="0" collapsed="false">
      <c r="A27" s="23" t="n">
        <v>24</v>
      </c>
      <c r="B27" s="18" t="str">
        <f aca="false">IFERROR(INDEX('Problem Log'!$F$3:$F$800,MATCH($A27,'Problem Log'!$V$3:$V$800,0)),"")</f>
        <v/>
      </c>
      <c r="C27" s="18" t="str">
        <f aca="false">IFERROR(INDEX('Problem Log'!$D$3:$D$800,MATCH($A27,'Problem Log'!$V$3:$V$800,0)),"")</f>
        <v/>
      </c>
      <c r="D27" s="26" t="str">
        <f aca="false">IFERROR(INDEX('Problem Log'!$B$3:$B$800,MATCH($A27,'Problem Log'!$V$3:$V$800,0)),"")</f>
        <v/>
      </c>
      <c r="E27" s="23" t="str">
        <f aca="false">IFERROR(INDEX('Problem Log'!$G$3:$G$800,MATCH($A27,'Problem Log'!$V$3:$V$800,0)),"")</f>
        <v/>
      </c>
      <c r="F27" s="18" t="str">
        <f aca="false">IFERROR(INDEX('Problem Log'!$K$3:$K$800,MATCH($A27,'Problem Log'!$V$3:$V$800,0)),"")</f>
        <v/>
      </c>
      <c r="G27" s="23" t="str">
        <f aca="false">IFERROR(INDEX('Problem Log'!$T$3:$T$800,MATCH($A27,'Problem Log'!$V$3:$V$800,0)),"")</f>
        <v/>
      </c>
      <c r="H27" s="20"/>
    </row>
    <row r="28" customFormat="false" ht="15" hidden="false" customHeight="false" outlineLevel="0" collapsed="false">
      <c r="A28" s="23" t="n">
        <v>25</v>
      </c>
      <c r="B28" s="18" t="str">
        <f aca="false">IFERROR(INDEX('Problem Log'!$F$3:$F$800,MATCH($A28,'Problem Log'!$V$3:$V$800,0)),"")</f>
        <v/>
      </c>
      <c r="C28" s="18" t="str">
        <f aca="false">IFERROR(INDEX('Problem Log'!$D$3:$D$800,MATCH($A28,'Problem Log'!$V$3:$V$800,0)),"")</f>
        <v/>
      </c>
      <c r="D28" s="26" t="str">
        <f aca="false">IFERROR(INDEX('Problem Log'!$B$3:$B$800,MATCH($A28,'Problem Log'!$V$3:$V$800,0)),"")</f>
        <v/>
      </c>
      <c r="E28" s="23" t="str">
        <f aca="false">IFERROR(INDEX('Problem Log'!$G$3:$G$800,MATCH($A28,'Problem Log'!$V$3:$V$800,0)),"")</f>
        <v/>
      </c>
      <c r="F28" s="18" t="str">
        <f aca="false">IFERROR(INDEX('Problem Log'!$K$3:$K$800,MATCH($A28,'Problem Log'!$V$3:$V$800,0)),"")</f>
        <v/>
      </c>
      <c r="G28" s="23" t="str">
        <f aca="false">IFERROR(INDEX('Problem Log'!$T$3:$T$800,MATCH($A28,'Problem Log'!$V$3:$V$800,0)),"")</f>
        <v/>
      </c>
      <c r="H28" s="20"/>
    </row>
    <row r="29" customFormat="false" ht="15" hidden="false" customHeight="false" outlineLevel="0" collapsed="false">
      <c r="A29" s="23" t="n">
        <v>26</v>
      </c>
      <c r="B29" s="18" t="str">
        <f aca="false">IFERROR(INDEX('Problem Log'!$F$3:$F$800,MATCH($A29,'Problem Log'!$V$3:$V$800,0)),"")</f>
        <v/>
      </c>
      <c r="C29" s="18" t="str">
        <f aca="false">IFERROR(INDEX('Problem Log'!$D$3:$D$800,MATCH($A29,'Problem Log'!$V$3:$V$800,0)),"")</f>
        <v/>
      </c>
      <c r="D29" s="26" t="str">
        <f aca="false">IFERROR(INDEX('Problem Log'!$B$3:$B$800,MATCH($A29,'Problem Log'!$V$3:$V$800,0)),"")</f>
        <v/>
      </c>
      <c r="E29" s="23" t="str">
        <f aca="false">IFERROR(INDEX('Problem Log'!$G$3:$G$800,MATCH($A29,'Problem Log'!$V$3:$V$800,0)),"")</f>
        <v/>
      </c>
      <c r="F29" s="18" t="str">
        <f aca="false">IFERROR(INDEX('Problem Log'!$K$3:$K$800,MATCH($A29,'Problem Log'!$V$3:$V$800,0)),"")</f>
        <v/>
      </c>
      <c r="G29" s="23" t="str">
        <f aca="false">IFERROR(INDEX('Problem Log'!$T$3:$T$800,MATCH($A29,'Problem Log'!$V$3:$V$800,0)),"")</f>
        <v/>
      </c>
      <c r="H29" s="20"/>
    </row>
    <row r="30" customFormat="false" ht="15" hidden="false" customHeight="false" outlineLevel="0" collapsed="false">
      <c r="A30" s="23" t="n">
        <v>27</v>
      </c>
      <c r="B30" s="18" t="str">
        <f aca="false">IFERROR(INDEX('Problem Log'!$F$3:$F$800,MATCH($A30,'Problem Log'!$V$3:$V$800,0)),"")</f>
        <v/>
      </c>
      <c r="C30" s="18" t="str">
        <f aca="false">IFERROR(INDEX('Problem Log'!$D$3:$D$800,MATCH($A30,'Problem Log'!$V$3:$V$800,0)),"")</f>
        <v/>
      </c>
      <c r="D30" s="26" t="str">
        <f aca="false">IFERROR(INDEX('Problem Log'!$B$3:$B$800,MATCH($A30,'Problem Log'!$V$3:$V$800,0)),"")</f>
        <v/>
      </c>
      <c r="E30" s="23" t="str">
        <f aca="false">IFERROR(INDEX('Problem Log'!$G$3:$G$800,MATCH($A30,'Problem Log'!$V$3:$V$800,0)),"")</f>
        <v/>
      </c>
      <c r="F30" s="18" t="str">
        <f aca="false">IFERROR(INDEX('Problem Log'!$K$3:$K$800,MATCH($A30,'Problem Log'!$V$3:$V$800,0)),"")</f>
        <v/>
      </c>
      <c r="G30" s="23" t="str">
        <f aca="false">IFERROR(INDEX('Problem Log'!$T$3:$T$800,MATCH($A30,'Problem Log'!$V$3:$V$800,0)),"")</f>
        <v/>
      </c>
      <c r="H30" s="20"/>
    </row>
    <row r="31" customFormat="false" ht="15" hidden="false" customHeight="false" outlineLevel="0" collapsed="false">
      <c r="A31" s="23" t="n">
        <v>28</v>
      </c>
      <c r="B31" s="18" t="str">
        <f aca="false">IFERROR(INDEX('Problem Log'!$F$3:$F$800,MATCH($A31,'Problem Log'!$V$3:$V$800,0)),"")</f>
        <v/>
      </c>
      <c r="C31" s="18" t="str">
        <f aca="false">IFERROR(INDEX('Problem Log'!$D$3:$D$800,MATCH($A31,'Problem Log'!$V$3:$V$800,0)),"")</f>
        <v/>
      </c>
      <c r="D31" s="26" t="str">
        <f aca="false">IFERROR(INDEX('Problem Log'!$B$3:$B$800,MATCH($A31,'Problem Log'!$V$3:$V$800,0)),"")</f>
        <v/>
      </c>
      <c r="E31" s="23" t="str">
        <f aca="false">IFERROR(INDEX('Problem Log'!$G$3:$G$800,MATCH($A31,'Problem Log'!$V$3:$V$800,0)),"")</f>
        <v/>
      </c>
      <c r="F31" s="18" t="str">
        <f aca="false">IFERROR(INDEX('Problem Log'!$K$3:$K$800,MATCH($A31,'Problem Log'!$V$3:$V$800,0)),"")</f>
        <v/>
      </c>
      <c r="G31" s="23" t="str">
        <f aca="false">IFERROR(INDEX('Problem Log'!$T$3:$T$800,MATCH($A31,'Problem Log'!$V$3:$V$800,0)),"")</f>
        <v/>
      </c>
      <c r="H31" s="20"/>
    </row>
    <row r="32" customFormat="false" ht="15" hidden="false" customHeight="false" outlineLevel="0" collapsed="false">
      <c r="A32" s="23" t="n">
        <v>29</v>
      </c>
      <c r="B32" s="18" t="str">
        <f aca="false">IFERROR(INDEX('Problem Log'!$F$3:$F$800,MATCH($A32,'Problem Log'!$V$3:$V$800,0)),"")</f>
        <v/>
      </c>
      <c r="C32" s="18" t="str">
        <f aca="false">IFERROR(INDEX('Problem Log'!$D$3:$D$800,MATCH($A32,'Problem Log'!$V$3:$V$800,0)),"")</f>
        <v/>
      </c>
      <c r="D32" s="26" t="str">
        <f aca="false">IFERROR(INDEX('Problem Log'!$B$3:$B$800,MATCH($A32,'Problem Log'!$V$3:$V$800,0)),"")</f>
        <v/>
      </c>
      <c r="E32" s="23" t="str">
        <f aca="false">IFERROR(INDEX('Problem Log'!$G$3:$G$800,MATCH($A32,'Problem Log'!$V$3:$V$800,0)),"")</f>
        <v/>
      </c>
      <c r="F32" s="18" t="str">
        <f aca="false">IFERROR(INDEX('Problem Log'!$K$3:$K$800,MATCH($A32,'Problem Log'!$V$3:$V$800,0)),"")</f>
        <v/>
      </c>
      <c r="G32" s="23" t="str">
        <f aca="false">IFERROR(INDEX('Problem Log'!$T$3:$T$800,MATCH($A32,'Problem Log'!$V$3:$V$800,0)),"")</f>
        <v/>
      </c>
      <c r="H32" s="20"/>
    </row>
    <row r="33" customFormat="false" ht="15" hidden="false" customHeight="false" outlineLevel="0" collapsed="false">
      <c r="A33" s="23" t="n">
        <v>30</v>
      </c>
      <c r="B33" s="18" t="str">
        <f aca="false">IFERROR(INDEX('Problem Log'!$F$3:$F$800,MATCH($A33,'Problem Log'!$V$3:$V$800,0)),"")</f>
        <v/>
      </c>
      <c r="C33" s="18" t="str">
        <f aca="false">IFERROR(INDEX('Problem Log'!$D$3:$D$800,MATCH($A33,'Problem Log'!$V$3:$V$800,0)),"")</f>
        <v/>
      </c>
      <c r="D33" s="26" t="str">
        <f aca="false">IFERROR(INDEX('Problem Log'!$B$3:$B$800,MATCH($A33,'Problem Log'!$V$3:$V$800,0)),"")</f>
        <v/>
      </c>
      <c r="E33" s="23" t="str">
        <f aca="false">IFERROR(INDEX('Problem Log'!$G$3:$G$800,MATCH($A33,'Problem Log'!$V$3:$V$800,0)),"")</f>
        <v/>
      </c>
      <c r="F33" s="18" t="str">
        <f aca="false">IFERROR(INDEX('Problem Log'!$K$3:$K$800,MATCH($A33,'Problem Log'!$V$3:$V$800,0)),"")</f>
        <v/>
      </c>
      <c r="G33" s="23" t="str">
        <f aca="false">IFERROR(INDEX('Problem Log'!$T$3:$T$800,MATCH($A33,'Problem Log'!$V$3:$V$800,0)),"")</f>
        <v/>
      </c>
      <c r="H33" s="20"/>
    </row>
    <row r="34" customFormat="false" ht="15" hidden="false" customHeight="false" outlineLevel="0" collapsed="false">
      <c r="A34" s="23" t="n">
        <v>31</v>
      </c>
      <c r="B34" s="18" t="str">
        <f aca="false">IFERROR(INDEX('Problem Log'!$F$3:$F$800,MATCH($A34,'Problem Log'!$V$3:$V$800,0)),"")</f>
        <v/>
      </c>
      <c r="C34" s="18" t="str">
        <f aca="false">IFERROR(INDEX('Problem Log'!$D$3:$D$800,MATCH($A34,'Problem Log'!$V$3:$V$800,0)),"")</f>
        <v/>
      </c>
      <c r="D34" s="26" t="str">
        <f aca="false">IFERROR(INDEX('Problem Log'!$B$3:$B$800,MATCH($A34,'Problem Log'!$V$3:$V$800,0)),"")</f>
        <v/>
      </c>
      <c r="E34" s="23" t="str">
        <f aca="false">IFERROR(INDEX('Problem Log'!$G$3:$G$800,MATCH($A34,'Problem Log'!$V$3:$V$800,0)),"")</f>
        <v/>
      </c>
      <c r="F34" s="18" t="str">
        <f aca="false">IFERROR(INDEX('Problem Log'!$K$3:$K$800,MATCH($A34,'Problem Log'!$V$3:$V$800,0)),"")</f>
        <v/>
      </c>
      <c r="G34" s="23" t="str">
        <f aca="false">IFERROR(INDEX('Problem Log'!$T$3:$T$800,MATCH($A34,'Problem Log'!$V$3:$V$800,0)),"")</f>
        <v/>
      </c>
      <c r="H34" s="20"/>
    </row>
    <row r="35" customFormat="false" ht="15" hidden="false" customHeight="false" outlineLevel="0" collapsed="false">
      <c r="A35" s="23" t="n">
        <v>32</v>
      </c>
      <c r="B35" s="18" t="str">
        <f aca="false">IFERROR(INDEX('Problem Log'!$F$3:$F$800,MATCH($A35,'Problem Log'!$V$3:$V$800,0)),"")</f>
        <v/>
      </c>
      <c r="C35" s="18" t="str">
        <f aca="false">IFERROR(INDEX('Problem Log'!$D$3:$D$800,MATCH($A35,'Problem Log'!$V$3:$V$800,0)),"")</f>
        <v/>
      </c>
      <c r="D35" s="26" t="str">
        <f aca="false">IFERROR(INDEX('Problem Log'!$B$3:$B$800,MATCH($A35,'Problem Log'!$V$3:$V$800,0)),"")</f>
        <v/>
      </c>
      <c r="E35" s="23" t="str">
        <f aca="false">IFERROR(INDEX('Problem Log'!$G$3:$G$800,MATCH($A35,'Problem Log'!$V$3:$V$800,0)),"")</f>
        <v/>
      </c>
      <c r="F35" s="18" t="str">
        <f aca="false">IFERROR(INDEX('Problem Log'!$K$3:$K$800,MATCH($A35,'Problem Log'!$V$3:$V$800,0)),"")</f>
        <v/>
      </c>
      <c r="G35" s="23" t="str">
        <f aca="false">IFERROR(INDEX('Problem Log'!$T$3:$T$800,MATCH($A35,'Problem Log'!$V$3:$V$800,0)),"")</f>
        <v/>
      </c>
      <c r="H35" s="20"/>
    </row>
    <row r="36" customFormat="false" ht="15" hidden="false" customHeight="false" outlineLevel="0" collapsed="false">
      <c r="A36" s="23" t="n">
        <v>33</v>
      </c>
      <c r="B36" s="18" t="str">
        <f aca="false">IFERROR(INDEX('Problem Log'!$F$3:$F$800,MATCH($A36,'Problem Log'!$V$3:$V$800,0)),"")</f>
        <v/>
      </c>
      <c r="C36" s="18" t="str">
        <f aca="false">IFERROR(INDEX('Problem Log'!$D$3:$D$800,MATCH($A36,'Problem Log'!$V$3:$V$800,0)),"")</f>
        <v/>
      </c>
      <c r="D36" s="26" t="str">
        <f aca="false">IFERROR(INDEX('Problem Log'!$B$3:$B$800,MATCH($A36,'Problem Log'!$V$3:$V$800,0)),"")</f>
        <v/>
      </c>
      <c r="E36" s="23" t="str">
        <f aca="false">IFERROR(INDEX('Problem Log'!$G$3:$G$800,MATCH($A36,'Problem Log'!$V$3:$V$800,0)),"")</f>
        <v/>
      </c>
      <c r="F36" s="18" t="str">
        <f aca="false">IFERROR(INDEX('Problem Log'!$K$3:$K$800,MATCH($A36,'Problem Log'!$V$3:$V$800,0)),"")</f>
        <v/>
      </c>
      <c r="G36" s="23" t="str">
        <f aca="false">IFERROR(INDEX('Problem Log'!$T$3:$T$800,MATCH($A36,'Problem Log'!$V$3:$V$800,0)),"")</f>
        <v/>
      </c>
      <c r="H36" s="20"/>
    </row>
    <row r="37" customFormat="false" ht="15" hidden="false" customHeight="false" outlineLevel="0" collapsed="false">
      <c r="A37" s="23" t="n">
        <v>34</v>
      </c>
      <c r="B37" s="18" t="str">
        <f aca="false">IFERROR(INDEX('Problem Log'!$F$3:$F$800,MATCH($A37,'Problem Log'!$V$3:$V$800,0)),"")</f>
        <v/>
      </c>
      <c r="C37" s="18" t="str">
        <f aca="false">IFERROR(INDEX('Problem Log'!$D$3:$D$800,MATCH($A37,'Problem Log'!$V$3:$V$800,0)),"")</f>
        <v/>
      </c>
      <c r="D37" s="26" t="str">
        <f aca="false">IFERROR(INDEX('Problem Log'!$B$3:$B$800,MATCH($A37,'Problem Log'!$V$3:$V$800,0)),"")</f>
        <v/>
      </c>
      <c r="E37" s="23" t="str">
        <f aca="false">IFERROR(INDEX('Problem Log'!$G$3:$G$800,MATCH($A37,'Problem Log'!$V$3:$V$800,0)),"")</f>
        <v/>
      </c>
      <c r="F37" s="18" t="str">
        <f aca="false">IFERROR(INDEX('Problem Log'!$K$3:$K$800,MATCH($A37,'Problem Log'!$V$3:$V$800,0)),"")</f>
        <v/>
      </c>
      <c r="G37" s="23" t="str">
        <f aca="false">IFERROR(INDEX('Problem Log'!$T$3:$T$800,MATCH($A37,'Problem Log'!$V$3:$V$800,0)),"")</f>
        <v/>
      </c>
      <c r="H37" s="20"/>
    </row>
    <row r="38" customFormat="false" ht="15" hidden="false" customHeight="false" outlineLevel="0" collapsed="false">
      <c r="A38" s="23" t="n">
        <v>35</v>
      </c>
      <c r="B38" s="18" t="str">
        <f aca="false">IFERROR(INDEX('Problem Log'!$F$3:$F$800,MATCH($A38,'Problem Log'!$V$3:$V$800,0)),"")</f>
        <v/>
      </c>
      <c r="C38" s="18" t="str">
        <f aca="false">IFERROR(INDEX('Problem Log'!$D$3:$D$800,MATCH($A38,'Problem Log'!$V$3:$V$800,0)),"")</f>
        <v/>
      </c>
      <c r="D38" s="26" t="str">
        <f aca="false">IFERROR(INDEX('Problem Log'!$B$3:$B$800,MATCH($A38,'Problem Log'!$V$3:$V$800,0)),"")</f>
        <v/>
      </c>
      <c r="E38" s="23" t="str">
        <f aca="false">IFERROR(INDEX('Problem Log'!$G$3:$G$800,MATCH($A38,'Problem Log'!$V$3:$V$800,0)),"")</f>
        <v/>
      </c>
      <c r="F38" s="18" t="str">
        <f aca="false">IFERROR(INDEX('Problem Log'!$K$3:$K$800,MATCH($A38,'Problem Log'!$V$3:$V$800,0)),"")</f>
        <v/>
      </c>
      <c r="G38" s="23" t="str">
        <f aca="false">IFERROR(INDEX('Problem Log'!$T$3:$T$800,MATCH($A38,'Problem Log'!$V$3:$V$800,0)),"")</f>
        <v/>
      </c>
      <c r="H38" s="20"/>
    </row>
    <row r="39" customFormat="false" ht="15" hidden="false" customHeight="false" outlineLevel="0" collapsed="false">
      <c r="A39" s="23" t="n">
        <v>36</v>
      </c>
      <c r="B39" s="18" t="str">
        <f aca="false">IFERROR(INDEX('Problem Log'!$F$3:$F$800,MATCH($A39,'Problem Log'!$V$3:$V$800,0)),"")</f>
        <v/>
      </c>
      <c r="C39" s="18" t="str">
        <f aca="false">IFERROR(INDEX('Problem Log'!$D$3:$D$800,MATCH($A39,'Problem Log'!$V$3:$V$800,0)),"")</f>
        <v/>
      </c>
      <c r="D39" s="26" t="str">
        <f aca="false">IFERROR(INDEX('Problem Log'!$B$3:$B$800,MATCH($A39,'Problem Log'!$V$3:$V$800,0)),"")</f>
        <v/>
      </c>
      <c r="E39" s="23" t="str">
        <f aca="false">IFERROR(INDEX('Problem Log'!$G$3:$G$800,MATCH($A39,'Problem Log'!$V$3:$V$800,0)),"")</f>
        <v/>
      </c>
      <c r="F39" s="18" t="str">
        <f aca="false">IFERROR(INDEX('Problem Log'!$K$3:$K$800,MATCH($A39,'Problem Log'!$V$3:$V$800,0)),"")</f>
        <v/>
      </c>
      <c r="G39" s="23" t="str">
        <f aca="false">IFERROR(INDEX('Problem Log'!$T$3:$T$800,MATCH($A39,'Problem Log'!$V$3:$V$800,0)),"")</f>
        <v/>
      </c>
      <c r="H39" s="20"/>
    </row>
    <row r="40" customFormat="false" ht="15" hidden="false" customHeight="false" outlineLevel="0" collapsed="false">
      <c r="A40" s="23" t="n">
        <v>37</v>
      </c>
      <c r="B40" s="18" t="str">
        <f aca="false">IFERROR(INDEX('Problem Log'!$F$3:$F$800,MATCH($A40,'Problem Log'!$V$3:$V$800,0)),"")</f>
        <v/>
      </c>
      <c r="C40" s="18" t="str">
        <f aca="false">IFERROR(INDEX('Problem Log'!$D$3:$D$800,MATCH($A40,'Problem Log'!$V$3:$V$800,0)),"")</f>
        <v/>
      </c>
      <c r="D40" s="26" t="str">
        <f aca="false">IFERROR(INDEX('Problem Log'!$B$3:$B$800,MATCH($A40,'Problem Log'!$V$3:$V$800,0)),"")</f>
        <v/>
      </c>
      <c r="E40" s="23" t="str">
        <f aca="false">IFERROR(INDEX('Problem Log'!$G$3:$G$800,MATCH($A40,'Problem Log'!$V$3:$V$800,0)),"")</f>
        <v/>
      </c>
      <c r="F40" s="18" t="str">
        <f aca="false">IFERROR(INDEX('Problem Log'!$K$3:$K$800,MATCH($A40,'Problem Log'!$V$3:$V$800,0)),"")</f>
        <v/>
      </c>
      <c r="G40" s="23" t="str">
        <f aca="false">IFERROR(INDEX('Problem Log'!$T$3:$T$800,MATCH($A40,'Problem Log'!$V$3:$V$800,0)),"")</f>
        <v/>
      </c>
      <c r="H40" s="20"/>
    </row>
    <row r="41" customFormat="false" ht="15" hidden="false" customHeight="false" outlineLevel="0" collapsed="false">
      <c r="A41" s="23" t="n">
        <v>38</v>
      </c>
      <c r="B41" s="18" t="str">
        <f aca="false">IFERROR(INDEX('Problem Log'!$F$3:$F$800,MATCH($A41,'Problem Log'!$V$3:$V$800,0)),"")</f>
        <v/>
      </c>
      <c r="C41" s="18" t="str">
        <f aca="false">IFERROR(INDEX('Problem Log'!$D$3:$D$800,MATCH($A41,'Problem Log'!$V$3:$V$800,0)),"")</f>
        <v/>
      </c>
      <c r="D41" s="26" t="str">
        <f aca="false">IFERROR(INDEX('Problem Log'!$B$3:$B$800,MATCH($A41,'Problem Log'!$V$3:$V$800,0)),"")</f>
        <v/>
      </c>
      <c r="E41" s="23" t="str">
        <f aca="false">IFERROR(INDEX('Problem Log'!$G$3:$G$800,MATCH($A41,'Problem Log'!$V$3:$V$800,0)),"")</f>
        <v/>
      </c>
      <c r="F41" s="18" t="str">
        <f aca="false">IFERROR(INDEX('Problem Log'!$K$3:$K$800,MATCH($A41,'Problem Log'!$V$3:$V$800,0)),"")</f>
        <v/>
      </c>
      <c r="G41" s="23" t="str">
        <f aca="false">IFERROR(INDEX('Problem Log'!$T$3:$T$800,MATCH($A41,'Problem Log'!$V$3:$V$800,0)),"")</f>
        <v/>
      </c>
      <c r="H41" s="20"/>
    </row>
    <row r="42" customFormat="false" ht="15" hidden="false" customHeight="false" outlineLevel="0" collapsed="false">
      <c r="A42" s="23" t="n">
        <v>39</v>
      </c>
      <c r="B42" s="18" t="str">
        <f aca="false">IFERROR(INDEX('Problem Log'!$F$3:$F$800,MATCH($A42,'Problem Log'!$V$3:$V$800,0)),"")</f>
        <v/>
      </c>
      <c r="C42" s="18" t="str">
        <f aca="false">IFERROR(INDEX('Problem Log'!$D$3:$D$800,MATCH($A42,'Problem Log'!$V$3:$V$800,0)),"")</f>
        <v/>
      </c>
      <c r="D42" s="26" t="str">
        <f aca="false">IFERROR(INDEX('Problem Log'!$B$3:$B$800,MATCH($A42,'Problem Log'!$V$3:$V$800,0)),"")</f>
        <v/>
      </c>
      <c r="E42" s="23" t="str">
        <f aca="false">IFERROR(INDEX('Problem Log'!$G$3:$G$800,MATCH($A42,'Problem Log'!$V$3:$V$800,0)),"")</f>
        <v/>
      </c>
      <c r="F42" s="18" t="str">
        <f aca="false">IFERROR(INDEX('Problem Log'!$K$3:$K$800,MATCH($A42,'Problem Log'!$V$3:$V$800,0)),"")</f>
        <v/>
      </c>
      <c r="G42" s="23" t="str">
        <f aca="false">IFERROR(INDEX('Problem Log'!$T$3:$T$800,MATCH($A42,'Problem Log'!$V$3:$V$800,0)),"")</f>
        <v/>
      </c>
      <c r="H42" s="20"/>
    </row>
    <row r="43" customFormat="false" ht="15" hidden="false" customHeight="false" outlineLevel="0" collapsed="false">
      <c r="A43" s="23" t="n">
        <v>40</v>
      </c>
      <c r="B43" s="18" t="str">
        <f aca="false">IFERROR(INDEX('Problem Log'!$F$3:$F$800,MATCH($A43,'Problem Log'!$V$3:$V$800,0)),"")</f>
        <v/>
      </c>
      <c r="C43" s="18" t="str">
        <f aca="false">IFERROR(INDEX('Problem Log'!$D$3:$D$800,MATCH($A43,'Problem Log'!$V$3:$V$800,0)),"")</f>
        <v/>
      </c>
      <c r="D43" s="26" t="str">
        <f aca="false">IFERROR(INDEX('Problem Log'!$B$3:$B$800,MATCH($A43,'Problem Log'!$V$3:$V$800,0)),"")</f>
        <v/>
      </c>
      <c r="E43" s="23" t="str">
        <f aca="false">IFERROR(INDEX('Problem Log'!$G$3:$G$800,MATCH($A43,'Problem Log'!$V$3:$V$800,0)),"")</f>
        <v/>
      </c>
      <c r="F43" s="18" t="str">
        <f aca="false">IFERROR(INDEX('Problem Log'!$K$3:$K$800,MATCH($A43,'Problem Log'!$V$3:$V$800,0)),"")</f>
        <v/>
      </c>
      <c r="G43" s="23" t="str">
        <f aca="false">IFERROR(INDEX('Problem Log'!$T$3:$T$800,MATCH($A43,'Problem Log'!$V$3:$V$800,0)),"")</f>
        <v/>
      </c>
      <c r="H43" s="20"/>
    </row>
    <row r="44" customFormat="false" ht="15" hidden="false" customHeight="false" outlineLevel="0" collapsed="false">
      <c r="A44" s="23" t="n">
        <v>41</v>
      </c>
      <c r="B44" s="18" t="str">
        <f aca="false">IFERROR(INDEX('Problem Log'!$F$3:$F$800,MATCH($A44,'Problem Log'!$V$3:$V$800,0)),"")</f>
        <v/>
      </c>
      <c r="C44" s="18" t="str">
        <f aca="false">IFERROR(INDEX('Problem Log'!$D$3:$D$800,MATCH($A44,'Problem Log'!$V$3:$V$800,0)),"")</f>
        <v/>
      </c>
      <c r="D44" s="26" t="str">
        <f aca="false">IFERROR(INDEX('Problem Log'!$B$3:$B$800,MATCH($A44,'Problem Log'!$V$3:$V$800,0)),"")</f>
        <v/>
      </c>
      <c r="E44" s="23" t="str">
        <f aca="false">IFERROR(INDEX('Problem Log'!$G$3:$G$800,MATCH($A44,'Problem Log'!$V$3:$V$800,0)),"")</f>
        <v/>
      </c>
      <c r="F44" s="18" t="str">
        <f aca="false">IFERROR(INDEX('Problem Log'!$K$3:$K$800,MATCH($A44,'Problem Log'!$V$3:$V$800,0)),"")</f>
        <v/>
      </c>
      <c r="G44" s="23" t="str">
        <f aca="false">IFERROR(INDEX('Problem Log'!$T$3:$T$800,MATCH($A44,'Problem Log'!$V$3:$V$800,0)),"")</f>
        <v/>
      </c>
      <c r="H44" s="20"/>
    </row>
    <row r="45" customFormat="false" ht="15" hidden="false" customHeight="false" outlineLevel="0" collapsed="false">
      <c r="A45" s="23" t="n">
        <v>42</v>
      </c>
      <c r="B45" s="18" t="str">
        <f aca="false">IFERROR(INDEX('Problem Log'!$F$3:$F$800,MATCH($A45,'Problem Log'!$V$3:$V$800,0)),"")</f>
        <v/>
      </c>
      <c r="C45" s="18" t="str">
        <f aca="false">IFERROR(INDEX('Problem Log'!$D$3:$D$800,MATCH($A45,'Problem Log'!$V$3:$V$800,0)),"")</f>
        <v/>
      </c>
      <c r="D45" s="26" t="str">
        <f aca="false">IFERROR(INDEX('Problem Log'!$B$3:$B$800,MATCH($A45,'Problem Log'!$V$3:$V$800,0)),"")</f>
        <v/>
      </c>
      <c r="E45" s="23" t="str">
        <f aca="false">IFERROR(INDEX('Problem Log'!$G$3:$G$800,MATCH($A45,'Problem Log'!$V$3:$V$800,0)),"")</f>
        <v/>
      </c>
      <c r="F45" s="18" t="str">
        <f aca="false">IFERROR(INDEX('Problem Log'!$K$3:$K$800,MATCH($A45,'Problem Log'!$V$3:$V$800,0)),"")</f>
        <v/>
      </c>
      <c r="G45" s="23" t="str">
        <f aca="false">IFERROR(INDEX('Problem Log'!$T$3:$T$800,MATCH($A45,'Problem Log'!$V$3:$V$800,0)),"")</f>
        <v/>
      </c>
      <c r="H45" s="20"/>
    </row>
    <row r="46" customFormat="false" ht="15" hidden="false" customHeight="false" outlineLevel="0" collapsed="false">
      <c r="A46" s="23" t="n">
        <v>43</v>
      </c>
      <c r="B46" s="18" t="str">
        <f aca="false">IFERROR(INDEX('Problem Log'!$F$3:$F$800,MATCH($A46,'Problem Log'!$V$3:$V$800,0)),"")</f>
        <v/>
      </c>
      <c r="C46" s="18" t="str">
        <f aca="false">IFERROR(INDEX('Problem Log'!$D$3:$D$800,MATCH($A46,'Problem Log'!$V$3:$V$800,0)),"")</f>
        <v/>
      </c>
      <c r="D46" s="26" t="str">
        <f aca="false">IFERROR(INDEX('Problem Log'!$B$3:$B$800,MATCH($A46,'Problem Log'!$V$3:$V$800,0)),"")</f>
        <v/>
      </c>
      <c r="E46" s="23" t="str">
        <f aca="false">IFERROR(INDEX('Problem Log'!$G$3:$G$800,MATCH($A46,'Problem Log'!$V$3:$V$800,0)),"")</f>
        <v/>
      </c>
      <c r="F46" s="18" t="str">
        <f aca="false">IFERROR(INDEX('Problem Log'!$K$3:$K$800,MATCH($A46,'Problem Log'!$V$3:$V$800,0)),"")</f>
        <v/>
      </c>
      <c r="G46" s="23" t="str">
        <f aca="false">IFERROR(INDEX('Problem Log'!$T$3:$T$800,MATCH($A46,'Problem Log'!$V$3:$V$800,0)),"")</f>
        <v/>
      </c>
      <c r="H46" s="20"/>
    </row>
    <row r="47" customFormat="false" ht="15" hidden="false" customHeight="false" outlineLevel="0" collapsed="false">
      <c r="A47" s="23" t="n">
        <v>44</v>
      </c>
      <c r="B47" s="18" t="str">
        <f aca="false">IFERROR(INDEX('Problem Log'!$F$3:$F$800,MATCH($A47,'Problem Log'!$V$3:$V$800,0)),"")</f>
        <v/>
      </c>
      <c r="C47" s="18" t="str">
        <f aca="false">IFERROR(INDEX('Problem Log'!$D$3:$D$800,MATCH($A47,'Problem Log'!$V$3:$V$800,0)),"")</f>
        <v/>
      </c>
      <c r="D47" s="26" t="str">
        <f aca="false">IFERROR(INDEX('Problem Log'!$B$3:$B$800,MATCH($A47,'Problem Log'!$V$3:$V$800,0)),"")</f>
        <v/>
      </c>
      <c r="E47" s="23" t="str">
        <f aca="false">IFERROR(INDEX('Problem Log'!$G$3:$G$800,MATCH($A47,'Problem Log'!$V$3:$V$800,0)),"")</f>
        <v/>
      </c>
      <c r="F47" s="18" t="str">
        <f aca="false">IFERROR(INDEX('Problem Log'!$K$3:$K$800,MATCH($A47,'Problem Log'!$V$3:$V$800,0)),"")</f>
        <v/>
      </c>
      <c r="G47" s="23" t="str">
        <f aca="false">IFERROR(INDEX('Problem Log'!$T$3:$T$800,MATCH($A47,'Problem Log'!$V$3:$V$800,0)),"")</f>
        <v/>
      </c>
      <c r="H47" s="20"/>
    </row>
    <row r="48" customFormat="false" ht="15" hidden="false" customHeight="false" outlineLevel="0" collapsed="false">
      <c r="A48" s="23" t="n">
        <v>45</v>
      </c>
      <c r="B48" s="18" t="str">
        <f aca="false">IFERROR(INDEX('Problem Log'!$F$3:$F$800,MATCH($A48,'Problem Log'!$V$3:$V$800,0)),"")</f>
        <v/>
      </c>
      <c r="C48" s="18" t="str">
        <f aca="false">IFERROR(INDEX('Problem Log'!$D$3:$D$800,MATCH($A48,'Problem Log'!$V$3:$V$800,0)),"")</f>
        <v/>
      </c>
      <c r="D48" s="26" t="str">
        <f aca="false">IFERROR(INDEX('Problem Log'!$B$3:$B$800,MATCH($A48,'Problem Log'!$V$3:$V$800,0)),"")</f>
        <v/>
      </c>
      <c r="E48" s="23" t="str">
        <f aca="false">IFERROR(INDEX('Problem Log'!$G$3:$G$800,MATCH($A48,'Problem Log'!$V$3:$V$800,0)),"")</f>
        <v/>
      </c>
      <c r="F48" s="18" t="str">
        <f aca="false">IFERROR(INDEX('Problem Log'!$K$3:$K$800,MATCH($A48,'Problem Log'!$V$3:$V$800,0)),"")</f>
        <v/>
      </c>
      <c r="G48" s="23" t="str">
        <f aca="false">IFERROR(INDEX('Problem Log'!$T$3:$T$800,MATCH($A48,'Problem Log'!$V$3:$V$800,0)),"")</f>
        <v/>
      </c>
      <c r="H48" s="20"/>
    </row>
    <row r="49" customFormat="false" ht="15" hidden="false" customHeight="false" outlineLevel="0" collapsed="false">
      <c r="A49" s="23" t="n">
        <v>46</v>
      </c>
      <c r="B49" s="18" t="str">
        <f aca="false">IFERROR(INDEX('Problem Log'!$F$3:$F$800,MATCH($A49,'Problem Log'!$V$3:$V$800,0)),"")</f>
        <v/>
      </c>
      <c r="C49" s="18" t="str">
        <f aca="false">IFERROR(INDEX('Problem Log'!$D$3:$D$800,MATCH($A49,'Problem Log'!$V$3:$V$800,0)),"")</f>
        <v/>
      </c>
      <c r="D49" s="26" t="str">
        <f aca="false">IFERROR(INDEX('Problem Log'!$B$3:$B$800,MATCH($A49,'Problem Log'!$V$3:$V$800,0)),"")</f>
        <v/>
      </c>
      <c r="E49" s="23" t="str">
        <f aca="false">IFERROR(INDEX('Problem Log'!$G$3:$G$800,MATCH($A49,'Problem Log'!$V$3:$V$800,0)),"")</f>
        <v/>
      </c>
      <c r="F49" s="18" t="str">
        <f aca="false">IFERROR(INDEX('Problem Log'!$K$3:$K$800,MATCH($A49,'Problem Log'!$V$3:$V$800,0)),"")</f>
        <v/>
      </c>
      <c r="G49" s="23" t="str">
        <f aca="false">IFERROR(INDEX('Problem Log'!$T$3:$T$800,MATCH($A49,'Problem Log'!$V$3:$V$800,0)),"")</f>
        <v/>
      </c>
      <c r="H49" s="20"/>
    </row>
    <row r="50" customFormat="false" ht="15" hidden="false" customHeight="false" outlineLevel="0" collapsed="false">
      <c r="A50" s="23" t="n">
        <v>47</v>
      </c>
      <c r="B50" s="18" t="str">
        <f aca="false">IFERROR(INDEX('Problem Log'!$F$3:$F$800,MATCH($A50,'Problem Log'!$V$3:$V$800,0)),"")</f>
        <v/>
      </c>
      <c r="C50" s="18" t="str">
        <f aca="false">IFERROR(INDEX('Problem Log'!$D$3:$D$800,MATCH($A50,'Problem Log'!$V$3:$V$800,0)),"")</f>
        <v/>
      </c>
      <c r="D50" s="26" t="str">
        <f aca="false">IFERROR(INDEX('Problem Log'!$B$3:$B$800,MATCH($A50,'Problem Log'!$V$3:$V$800,0)),"")</f>
        <v/>
      </c>
      <c r="E50" s="23" t="str">
        <f aca="false">IFERROR(INDEX('Problem Log'!$G$3:$G$800,MATCH($A50,'Problem Log'!$V$3:$V$800,0)),"")</f>
        <v/>
      </c>
      <c r="F50" s="18" t="str">
        <f aca="false">IFERROR(INDEX('Problem Log'!$K$3:$K$800,MATCH($A50,'Problem Log'!$V$3:$V$800,0)),"")</f>
        <v/>
      </c>
      <c r="G50" s="23" t="str">
        <f aca="false">IFERROR(INDEX('Problem Log'!$T$3:$T$800,MATCH($A50,'Problem Log'!$V$3:$V$800,0)),"")</f>
        <v/>
      </c>
      <c r="H50" s="20"/>
    </row>
    <row r="51" customFormat="false" ht="15" hidden="false" customHeight="false" outlineLevel="0" collapsed="false">
      <c r="A51" s="23" t="n">
        <v>48</v>
      </c>
      <c r="B51" s="18" t="str">
        <f aca="false">IFERROR(INDEX('Problem Log'!$F$3:$F$800,MATCH($A51,'Problem Log'!$V$3:$V$800,0)),"")</f>
        <v/>
      </c>
      <c r="C51" s="18" t="str">
        <f aca="false">IFERROR(INDEX('Problem Log'!$D$3:$D$800,MATCH($A51,'Problem Log'!$V$3:$V$800,0)),"")</f>
        <v/>
      </c>
      <c r="D51" s="26" t="str">
        <f aca="false">IFERROR(INDEX('Problem Log'!$B$3:$B$800,MATCH($A51,'Problem Log'!$V$3:$V$800,0)),"")</f>
        <v/>
      </c>
      <c r="E51" s="23" t="str">
        <f aca="false">IFERROR(INDEX('Problem Log'!$G$3:$G$800,MATCH($A51,'Problem Log'!$V$3:$V$800,0)),"")</f>
        <v/>
      </c>
      <c r="F51" s="18" t="str">
        <f aca="false">IFERROR(INDEX('Problem Log'!$K$3:$K$800,MATCH($A51,'Problem Log'!$V$3:$V$800,0)),"")</f>
        <v/>
      </c>
      <c r="G51" s="23" t="str">
        <f aca="false">IFERROR(INDEX('Problem Log'!$T$3:$T$800,MATCH($A51,'Problem Log'!$V$3:$V$800,0)),"")</f>
        <v/>
      </c>
      <c r="H51" s="20"/>
    </row>
    <row r="52" customFormat="false" ht="15" hidden="false" customHeight="false" outlineLevel="0" collapsed="false">
      <c r="A52" s="23" t="n">
        <v>49</v>
      </c>
      <c r="B52" s="18" t="str">
        <f aca="false">IFERROR(INDEX('Problem Log'!$F$3:$F$800,MATCH($A52,'Problem Log'!$V$3:$V$800,0)),"")</f>
        <v/>
      </c>
      <c r="C52" s="18" t="str">
        <f aca="false">IFERROR(INDEX('Problem Log'!$D$3:$D$800,MATCH($A52,'Problem Log'!$V$3:$V$800,0)),"")</f>
        <v/>
      </c>
      <c r="D52" s="26" t="str">
        <f aca="false">IFERROR(INDEX('Problem Log'!$B$3:$B$800,MATCH($A52,'Problem Log'!$V$3:$V$800,0)),"")</f>
        <v/>
      </c>
      <c r="E52" s="23" t="str">
        <f aca="false">IFERROR(INDEX('Problem Log'!$G$3:$G$800,MATCH($A52,'Problem Log'!$V$3:$V$800,0)),"")</f>
        <v/>
      </c>
      <c r="F52" s="18" t="str">
        <f aca="false">IFERROR(INDEX('Problem Log'!$K$3:$K$800,MATCH($A52,'Problem Log'!$V$3:$V$800,0)),"")</f>
        <v/>
      </c>
      <c r="G52" s="23" t="str">
        <f aca="false">IFERROR(INDEX('Problem Log'!$T$3:$T$800,MATCH($A52,'Problem Log'!$V$3:$V$800,0)),"")</f>
        <v/>
      </c>
      <c r="H52" s="20"/>
    </row>
    <row r="53" customFormat="false" ht="15" hidden="false" customHeight="false" outlineLevel="0" collapsed="false">
      <c r="A53" s="23" t="n">
        <v>50</v>
      </c>
      <c r="B53" s="18" t="str">
        <f aca="false">IFERROR(INDEX('Problem Log'!$F$3:$F$800,MATCH($A53,'Problem Log'!$V$3:$V$800,0)),"")</f>
        <v/>
      </c>
      <c r="C53" s="18" t="str">
        <f aca="false">IFERROR(INDEX('Problem Log'!$D$3:$D$800,MATCH($A53,'Problem Log'!$V$3:$V$800,0)),"")</f>
        <v/>
      </c>
      <c r="D53" s="26" t="str">
        <f aca="false">IFERROR(INDEX('Problem Log'!$B$3:$B$800,MATCH($A53,'Problem Log'!$V$3:$V$800,0)),"")</f>
        <v/>
      </c>
      <c r="E53" s="23" t="str">
        <f aca="false">IFERROR(INDEX('Problem Log'!$G$3:$G$800,MATCH($A53,'Problem Log'!$V$3:$V$800,0)),"")</f>
        <v/>
      </c>
      <c r="F53" s="18" t="str">
        <f aca="false">IFERROR(INDEX('Problem Log'!$K$3:$K$800,MATCH($A53,'Problem Log'!$V$3:$V$800,0)),"")</f>
        <v/>
      </c>
      <c r="G53" s="23" t="str">
        <f aca="false">IFERROR(INDEX('Problem Log'!$T$3:$T$800,MATCH($A53,'Problem Log'!$V$3:$V$800,0)),"")</f>
        <v/>
      </c>
      <c r="H53" s="20"/>
    </row>
    <row r="54" customFormat="false" ht="15" hidden="false" customHeight="false" outlineLevel="0" collapsed="false">
      <c r="A54" s="23" t="n">
        <v>51</v>
      </c>
      <c r="B54" s="18" t="str">
        <f aca="false">IFERROR(INDEX('Problem Log'!$F$3:$F$800,MATCH($A54,'Problem Log'!$V$3:$V$800,0)),"")</f>
        <v/>
      </c>
      <c r="C54" s="18" t="str">
        <f aca="false">IFERROR(INDEX('Problem Log'!$D$3:$D$800,MATCH($A54,'Problem Log'!$V$3:$V$800,0)),"")</f>
        <v/>
      </c>
      <c r="D54" s="26" t="str">
        <f aca="false">IFERROR(INDEX('Problem Log'!$B$3:$B$800,MATCH($A54,'Problem Log'!$V$3:$V$800,0)),"")</f>
        <v/>
      </c>
      <c r="E54" s="23" t="str">
        <f aca="false">IFERROR(INDEX('Problem Log'!$G$3:$G$800,MATCH($A54,'Problem Log'!$V$3:$V$800,0)),"")</f>
        <v/>
      </c>
      <c r="F54" s="18" t="str">
        <f aca="false">IFERROR(INDEX('Problem Log'!$K$3:$K$800,MATCH($A54,'Problem Log'!$V$3:$V$800,0)),"")</f>
        <v/>
      </c>
      <c r="G54" s="23" t="str">
        <f aca="false">IFERROR(INDEX('Problem Log'!$T$3:$T$800,MATCH($A54,'Problem Log'!$V$3:$V$800,0)),"")</f>
        <v/>
      </c>
      <c r="H54" s="20"/>
    </row>
    <row r="55" customFormat="false" ht="15" hidden="false" customHeight="false" outlineLevel="0" collapsed="false">
      <c r="A55" s="23" t="n">
        <v>52</v>
      </c>
      <c r="B55" s="18" t="str">
        <f aca="false">IFERROR(INDEX('Problem Log'!$F$3:$F$800,MATCH($A55,'Problem Log'!$V$3:$V$800,0)),"")</f>
        <v/>
      </c>
      <c r="C55" s="18" t="str">
        <f aca="false">IFERROR(INDEX('Problem Log'!$D$3:$D$800,MATCH($A55,'Problem Log'!$V$3:$V$800,0)),"")</f>
        <v/>
      </c>
      <c r="D55" s="26" t="str">
        <f aca="false">IFERROR(INDEX('Problem Log'!$B$3:$B$800,MATCH($A55,'Problem Log'!$V$3:$V$800,0)),"")</f>
        <v/>
      </c>
      <c r="E55" s="23" t="str">
        <f aca="false">IFERROR(INDEX('Problem Log'!$G$3:$G$800,MATCH($A55,'Problem Log'!$V$3:$V$800,0)),"")</f>
        <v/>
      </c>
      <c r="F55" s="18" t="str">
        <f aca="false">IFERROR(INDEX('Problem Log'!$K$3:$K$800,MATCH($A55,'Problem Log'!$V$3:$V$800,0)),"")</f>
        <v/>
      </c>
      <c r="G55" s="23" t="str">
        <f aca="false">IFERROR(INDEX('Problem Log'!$T$3:$T$800,MATCH($A55,'Problem Log'!$V$3:$V$800,0)),"")</f>
        <v/>
      </c>
      <c r="H55" s="20"/>
    </row>
    <row r="56" customFormat="false" ht="15" hidden="false" customHeight="false" outlineLevel="0" collapsed="false">
      <c r="A56" s="23" t="n">
        <v>53</v>
      </c>
      <c r="B56" s="18" t="str">
        <f aca="false">IFERROR(INDEX('Problem Log'!$F$3:$F$800,MATCH($A56,'Problem Log'!$V$3:$V$800,0)),"")</f>
        <v/>
      </c>
      <c r="C56" s="18" t="str">
        <f aca="false">IFERROR(INDEX('Problem Log'!$D$3:$D$800,MATCH($A56,'Problem Log'!$V$3:$V$800,0)),"")</f>
        <v/>
      </c>
      <c r="D56" s="26" t="str">
        <f aca="false">IFERROR(INDEX('Problem Log'!$B$3:$B$800,MATCH($A56,'Problem Log'!$V$3:$V$800,0)),"")</f>
        <v/>
      </c>
      <c r="E56" s="23" t="str">
        <f aca="false">IFERROR(INDEX('Problem Log'!$G$3:$G$800,MATCH($A56,'Problem Log'!$V$3:$V$800,0)),"")</f>
        <v/>
      </c>
      <c r="F56" s="18" t="str">
        <f aca="false">IFERROR(INDEX('Problem Log'!$K$3:$K$800,MATCH($A56,'Problem Log'!$V$3:$V$800,0)),"")</f>
        <v/>
      </c>
      <c r="G56" s="23" t="str">
        <f aca="false">IFERROR(INDEX('Problem Log'!$T$3:$T$800,MATCH($A56,'Problem Log'!$V$3:$V$800,0)),"")</f>
        <v/>
      </c>
      <c r="H56" s="20"/>
    </row>
    <row r="57" customFormat="false" ht="15" hidden="false" customHeight="false" outlineLevel="0" collapsed="false">
      <c r="A57" s="23" t="n">
        <v>54</v>
      </c>
      <c r="B57" s="18" t="str">
        <f aca="false">IFERROR(INDEX('Problem Log'!$F$3:$F$800,MATCH($A57,'Problem Log'!$V$3:$V$800,0)),"")</f>
        <v/>
      </c>
      <c r="C57" s="18" t="str">
        <f aca="false">IFERROR(INDEX('Problem Log'!$D$3:$D$800,MATCH($A57,'Problem Log'!$V$3:$V$800,0)),"")</f>
        <v/>
      </c>
      <c r="D57" s="26" t="str">
        <f aca="false">IFERROR(INDEX('Problem Log'!$B$3:$B$800,MATCH($A57,'Problem Log'!$V$3:$V$800,0)),"")</f>
        <v/>
      </c>
      <c r="E57" s="23" t="str">
        <f aca="false">IFERROR(INDEX('Problem Log'!$G$3:$G$800,MATCH($A57,'Problem Log'!$V$3:$V$800,0)),"")</f>
        <v/>
      </c>
      <c r="F57" s="18" t="str">
        <f aca="false">IFERROR(INDEX('Problem Log'!$K$3:$K$800,MATCH($A57,'Problem Log'!$V$3:$V$800,0)),"")</f>
        <v/>
      </c>
      <c r="G57" s="23" t="str">
        <f aca="false">IFERROR(INDEX('Problem Log'!$T$3:$T$800,MATCH($A57,'Problem Log'!$V$3:$V$800,0)),"")</f>
        <v/>
      </c>
      <c r="H57" s="20"/>
    </row>
    <row r="58" customFormat="false" ht="15" hidden="false" customHeight="false" outlineLevel="0" collapsed="false">
      <c r="A58" s="23" t="n">
        <v>55</v>
      </c>
      <c r="B58" s="18" t="str">
        <f aca="false">IFERROR(INDEX('Problem Log'!$F$3:$F$800,MATCH($A58,'Problem Log'!$V$3:$V$800,0)),"")</f>
        <v/>
      </c>
      <c r="C58" s="18" t="str">
        <f aca="false">IFERROR(INDEX('Problem Log'!$D$3:$D$800,MATCH($A58,'Problem Log'!$V$3:$V$800,0)),"")</f>
        <v/>
      </c>
      <c r="D58" s="26" t="str">
        <f aca="false">IFERROR(INDEX('Problem Log'!$B$3:$B$800,MATCH($A58,'Problem Log'!$V$3:$V$800,0)),"")</f>
        <v/>
      </c>
      <c r="E58" s="23" t="str">
        <f aca="false">IFERROR(INDEX('Problem Log'!$G$3:$G$800,MATCH($A58,'Problem Log'!$V$3:$V$800,0)),"")</f>
        <v/>
      </c>
      <c r="F58" s="18" t="str">
        <f aca="false">IFERROR(INDEX('Problem Log'!$K$3:$K$800,MATCH($A58,'Problem Log'!$V$3:$V$800,0)),"")</f>
        <v/>
      </c>
      <c r="G58" s="23" t="str">
        <f aca="false">IFERROR(INDEX('Problem Log'!$T$3:$T$800,MATCH($A58,'Problem Log'!$V$3:$V$800,0)),"")</f>
        <v/>
      </c>
      <c r="H58" s="20"/>
    </row>
    <row r="59" customFormat="false" ht="15" hidden="false" customHeight="false" outlineLevel="0" collapsed="false">
      <c r="A59" s="23" t="n">
        <v>56</v>
      </c>
      <c r="B59" s="18" t="str">
        <f aca="false">IFERROR(INDEX('Problem Log'!$F$3:$F$800,MATCH($A59,'Problem Log'!$V$3:$V$800,0)),"")</f>
        <v/>
      </c>
      <c r="C59" s="18" t="str">
        <f aca="false">IFERROR(INDEX('Problem Log'!$D$3:$D$800,MATCH($A59,'Problem Log'!$V$3:$V$800,0)),"")</f>
        <v/>
      </c>
      <c r="D59" s="26" t="str">
        <f aca="false">IFERROR(INDEX('Problem Log'!$B$3:$B$800,MATCH($A59,'Problem Log'!$V$3:$V$800,0)),"")</f>
        <v/>
      </c>
      <c r="E59" s="23" t="str">
        <f aca="false">IFERROR(INDEX('Problem Log'!$G$3:$G$800,MATCH($A59,'Problem Log'!$V$3:$V$800,0)),"")</f>
        <v/>
      </c>
      <c r="F59" s="18" t="str">
        <f aca="false">IFERROR(INDEX('Problem Log'!$K$3:$K$800,MATCH($A59,'Problem Log'!$V$3:$V$800,0)),"")</f>
        <v/>
      </c>
      <c r="G59" s="23" t="str">
        <f aca="false">IFERROR(INDEX('Problem Log'!$T$3:$T$800,MATCH($A59,'Problem Log'!$V$3:$V$800,0)),"")</f>
        <v/>
      </c>
      <c r="H59" s="20"/>
    </row>
    <row r="60" customFormat="false" ht="15" hidden="false" customHeight="false" outlineLevel="0" collapsed="false">
      <c r="A60" s="23" t="n">
        <v>57</v>
      </c>
      <c r="B60" s="18" t="str">
        <f aca="false">IFERROR(INDEX('Problem Log'!$F$3:$F$800,MATCH($A60,'Problem Log'!$V$3:$V$800,0)),"")</f>
        <v/>
      </c>
      <c r="C60" s="18" t="str">
        <f aca="false">IFERROR(INDEX('Problem Log'!$D$3:$D$800,MATCH($A60,'Problem Log'!$V$3:$V$800,0)),"")</f>
        <v/>
      </c>
      <c r="D60" s="26" t="str">
        <f aca="false">IFERROR(INDEX('Problem Log'!$B$3:$B$800,MATCH($A60,'Problem Log'!$V$3:$V$800,0)),"")</f>
        <v/>
      </c>
      <c r="E60" s="23" t="str">
        <f aca="false">IFERROR(INDEX('Problem Log'!$G$3:$G$800,MATCH($A60,'Problem Log'!$V$3:$V$800,0)),"")</f>
        <v/>
      </c>
      <c r="F60" s="18" t="str">
        <f aca="false">IFERROR(INDEX('Problem Log'!$K$3:$K$800,MATCH($A60,'Problem Log'!$V$3:$V$800,0)),"")</f>
        <v/>
      </c>
      <c r="G60" s="23" t="str">
        <f aca="false">IFERROR(INDEX('Problem Log'!$T$3:$T$800,MATCH($A60,'Problem Log'!$V$3:$V$800,0)),"")</f>
        <v/>
      </c>
      <c r="H60" s="20"/>
    </row>
    <row r="61" customFormat="false" ht="15" hidden="false" customHeight="false" outlineLevel="0" collapsed="false">
      <c r="A61" s="23" t="n">
        <v>58</v>
      </c>
      <c r="B61" s="18" t="str">
        <f aca="false">IFERROR(INDEX('Problem Log'!$F$3:$F$800,MATCH($A61,'Problem Log'!$V$3:$V$800,0)),"")</f>
        <v/>
      </c>
      <c r="C61" s="18" t="str">
        <f aca="false">IFERROR(INDEX('Problem Log'!$D$3:$D$800,MATCH($A61,'Problem Log'!$V$3:$V$800,0)),"")</f>
        <v/>
      </c>
      <c r="D61" s="26" t="str">
        <f aca="false">IFERROR(INDEX('Problem Log'!$B$3:$B$800,MATCH($A61,'Problem Log'!$V$3:$V$800,0)),"")</f>
        <v/>
      </c>
      <c r="E61" s="23" t="str">
        <f aca="false">IFERROR(INDEX('Problem Log'!$G$3:$G$800,MATCH($A61,'Problem Log'!$V$3:$V$800,0)),"")</f>
        <v/>
      </c>
      <c r="F61" s="18" t="str">
        <f aca="false">IFERROR(INDEX('Problem Log'!$K$3:$K$800,MATCH($A61,'Problem Log'!$V$3:$V$800,0)),"")</f>
        <v/>
      </c>
      <c r="G61" s="23" t="str">
        <f aca="false">IFERROR(INDEX('Problem Log'!$T$3:$T$800,MATCH($A61,'Problem Log'!$V$3:$V$800,0)),"")</f>
        <v/>
      </c>
      <c r="H61" s="20"/>
    </row>
    <row r="62" customFormat="false" ht="15" hidden="false" customHeight="false" outlineLevel="0" collapsed="false">
      <c r="A62" s="23" t="n">
        <v>59</v>
      </c>
      <c r="B62" s="18" t="str">
        <f aca="false">IFERROR(INDEX('Problem Log'!$F$3:$F$800,MATCH($A62,'Problem Log'!$V$3:$V$800,0)),"")</f>
        <v/>
      </c>
      <c r="C62" s="18" t="str">
        <f aca="false">IFERROR(INDEX('Problem Log'!$D$3:$D$800,MATCH($A62,'Problem Log'!$V$3:$V$800,0)),"")</f>
        <v/>
      </c>
      <c r="D62" s="26" t="str">
        <f aca="false">IFERROR(INDEX('Problem Log'!$B$3:$B$800,MATCH($A62,'Problem Log'!$V$3:$V$800,0)),"")</f>
        <v/>
      </c>
      <c r="E62" s="23" t="str">
        <f aca="false">IFERROR(INDEX('Problem Log'!$G$3:$G$800,MATCH($A62,'Problem Log'!$V$3:$V$800,0)),"")</f>
        <v/>
      </c>
      <c r="F62" s="18" t="str">
        <f aca="false">IFERROR(INDEX('Problem Log'!$K$3:$K$800,MATCH($A62,'Problem Log'!$V$3:$V$800,0)),"")</f>
        <v/>
      </c>
      <c r="G62" s="23" t="str">
        <f aca="false">IFERROR(INDEX('Problem Log'!$T$3:$T$800,MATCH($A62,'Problem Log'!$V$3:$V$800,0)),"")</f>
        <v/>
      </c>
      <c r="H62" s="20"/>
    </row>
    <row r="63" customFormat="false" ht="15" hidden="false" customHeight="false" outlineLevel="0" collapsed="false">
      <c r="A63" s="23" t="n">
        <v>60</v>
      </c>
      <c r="B63" s="18" t="str">
        <f aca="false">IFERROR(INDEX('Problem Log'!$F$3:$F$800,MATCH($A63,'Problem Log'!$V$3:$V$800,0)),"")</f>
        <v/>
      </c>
      <c r="C63" s="18" t="str">
        <f aca="false">IFERROR(INDEX('Problem Log'!$D$3:$D$800,MATCH($A63,'Problem Log'!$V$3:$V$800,0)),"")</f>
        <v/>
      </c>
      <c r="D63" s="26" t="str">
        <f aca="false">IFERROR(INDEX('Problem Log'!$B$3:$B$800,MATCH($A63,'Problem Log'!$V$3:$V$800,0)),"")</f>
        <v/>
      </c>
      <c r="E63" s="23" t="str">
        <f aca="false">IFERROR(INDEX('Problem Log'!$G$3:$G$800,MATCH($A63,'Problem Log'!$V$3:$V$800,0)),"")</f>
        <v/>
      </c>
      <c r="F63" s="18" t="str">
        <f aca="false">IFERROR(INDEX('Problem Log'!$K$3:$K$800,MATCH($A63,'Problem Log'!$V$3:$V$800,0)),"")</f>
        <v/>
      </c>
      <c r="G63" s="23" t="str">
        <f aca="false">IFERROR(INDEX('Problem Log'!$T$3:$T$800,MATCH($A63,'Problem Log'!$V$3:$V$800,0)),"")</f>
        <v/>
      </c>
      <c r="H63" s="20"/>
    </row>
  </sheetData>
  <mergeCells count="1">
    <mergeCell ref="A1:H1"/>
  </mergeCells>
  <conditionalFormatting sqref="H4:H63">
    <cfRule type="cellIs" priority="2" operator="equal" aboveAverage="0" equalAverage="0" bottom="0" percent="0" rank="0" text="" dxfId="8">
      <formula>"Yes"</formula>
    </cfRule>
    <cfRule type="cellIs" priority="3" operator="equal" aboveAverage="0" equalAverage="0" bottom="0" percent="0" rank="0" text="" dxfId="10">
      <formula>"No - re-solve Sunday"</formula>
    </cfRule>
  </conditionalFormatting>
  <conditionalFormatting sqref="B2">
    <cfRule type="cellIs" priority="4" operator="greaterThan" aboveAverage="0" equalAverage="0" bottom="0" percent="0" rank="0" text="" dxfId="11">
      <formula>25</formula>
    </cfRule>
  </conditionalFormatting>
  <dataValidations count="1">
    <dataValidation allowBlank="true" errorStyle="stop" operator="between" showDropDown="false" showErrorMessage="false" showInputMessage="false" sqref="H4:H63" type="list">
      <formula1>"Yes,No - re-solve Sunday"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4"/>
    <col collapsed="false" customWidth="true" hidden="false" outlineLevel="0" max="4" min="4" style="0" width="24"/>
    <col collapsed="false" customWidth="true" hidden="false" outlineLevel="0" max="5" min="5" style="0" width="12"/>
  </cols>
  <sheetData>
    <row r="1" customFormat="false" ht="17.3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A4" s="24" t="s">
        <v>110</v>
      </c>
      <c r="B4" s="26" t="n">
        <f aca="true">TODAY()</f>
        <v>46233</v>
      </c>
      <c r="D4" s="3" t="s">
        <v>111</v>
      </c>
    </row>
    <row r="5" customFormat="false" ht="15" hidden="false" customHeight="false" outlineLevel="0" collapsed="false">
      <c r="D5" s="27" t="s">
        <v>73</v>
      </c>
      <c r="E5" s="27" t="s">
        <v>112</v>
      </c>
    </row>
    <row r="6" customFormat="false" ht="15" hidden="false" customHeight="false" outlineLevel="0" collapsed="false">
      <c r="A6" s="24" t="s">
        <v>113</v>
      </c>
      <c r="B6" s="28" t="n">
        <f aca="false">COUNT('Problem Log'!$B$3:$B$800)</f>
        <v>1</v>
      </c>
      <c r="D6" s="29" t="s">
        <v>114</v>
      </c>
      <c r="E6" s="23" t="n">
        <f aca="false">COUNTIF('Problem Log'!$D$3:$D$800,$D6)</f>
        <v>0</v>
      </c>
    </row>
    <row r="7" customFormat="false" ht="15" hidden="false" customHeight="false" outlineLevel="0" collapsed="false">
      <c r="A7" s="24" t="s">
        <v>115</v>
      </c>
      <c r="B7" s="28" t="n">
        <f aca="false">COUNTIF('Problem Log'!$S$3:$S$800,"DUE")</f>
        <v>0</v>
      </c>
      <c r="D7" s="29" t="s">
        <v>116</v>
      </c>
      <c r="E7" s="23" t="n">
        <f aca="false">COUNTIF('Problem Log'!$D$3:$D$800,$D7)</f>
        <v>0</v>
      </c>
    </row>
    <row r="8" customFormat="false" ht="15" hidden="false" customHeight="false" outlineLevel="0" collapsed="false">
      <c r="A8" s="24" t="s">
        <v>117</v>
      </c>
      <c r="B8" s="28" t="n">
        <f aca="false">COUNTIF('Problem Log'!$S$3:$S$800,"Scheduled")</f>
        <v>1</v>
      </c>
      <c r="D8" s="29" t="s">
        <v>92</v>
      </c>
      <c r="E8" s="23" t="n">
        <f aca="false">COUNTIF('Problem Log'!$D$3:$D$800,$D8)</f>
        <v>1</v>
      </c>
    </row>
    <row r="9" customFormat="false" ht="15" hidden="false" customHeight="false" outlineLevel="0" collapsed="false">
      <c r="A9" s="24" t="s">
        <v>118</v>
      </c>
      <c r="B9" s="28" t="n">
        <f aca="false">COUNTIF('Problem Log'!$S$3:$S$800,"Done")</f>
        <v>0</v>
      </c>
      <c r="D9" s="29" t="s">
        <v>119</v>
      </c>
      <c r="E9" s="23" t="n">
        <f aca="false">COUNTIF('Problem Log'!$D$3:$D$800,$D9)</f>
        <v>0</v>
      </c>
    </row>
    <row r="10" customFormat="false" ht="15" hidden="false" customHeight="false" outlineLevel="0" collapsed="false">
      <c r="A10" s="24" t="s">
        <v>120</v>
      </c>
      <c r="B10" s="28" t="n">
        <f aca="false">COUNTIF('Problem Log'!$U$3:$U$800,"REDO")</f>
        <v>0</v>
      </c>
      <c r="D10" s="29" t="s">
        <v>121</v>
      </c>
      <c r="E10" s="23" t="n">
        <f aca="false">COUNTIF('Problem Log'!$D$3:$D$800,$D10)</f>
        <v>0</v>
      </c>
    </row>
    <row r="11" customFormat="false" ht="15" hidden="false" customHeight="false" outlineLevel="0" collapsed="false">
      <c r="D11" s="29" t="s">
        <v>122</v>
      </c>
      <c r="E11" s="23" t="n">
        <f aca="false">COUNTIF('Problem Log'!$D$3:$D$800,$D11)</f>
        <v>0</v>
      </c>
    </row>
    <row r="12" customFormat="false" ht="15" hidden="false" customHeight="false" outlineLevel="0" collapsed="false">
      <c r="A12" s="24" t="s">
        <v>123</v>
      </c>
      <c r="B12" s="28" t="n">
        <f aca="false">COUNTIF('Problem Log'!$I$3:$I$800,"Alone")</f>
        <v>1</v>
      </c>
      <c r="D12" s="29" t="s">
        <v>124</v>
      </c>
      <c r="E12" s="23" t="n">
        <f aca="false">COUNTIF('Problem Log'!$D$3:$D$800,$D12)</f>
        <v>0</v>
      </c>
    </row>
    <row r="13" customFormat="false" ht="15" hidden="false" customHeight="false" outlineLevel="0" collapsed="false">
      <c r="A13" s="24" t="s">
        <v>125</v>
      </c>
      <c r="B13" s="28" t="n">
        <f aca="false">COUNTIF('Problem Log'!$I$3:$I$800,"Hint")</f>
        <v>0</v>
      </c>
      <c r="D13" s="29" t="s">
        <v>126</v>
      </c>
      <c r="E13" s="23" t="n">
        <f aca="false">COUNTIF('Problem Log'!$D$3:$D$800,$D13)</f>
        <v>0</v>
      </c>
    </row>
    <row r="14" customFormat="false" ht="15" hidden="false" customHeight="false" outlineLevel="0" collapsed="false">
      <c r="A14" s="24" t="s">
        <v>127</v>
      </c>
      <c r="B14" s="28" t="n">
        <f aca="false">COUNTIF('Problem Log'!$I$3:$I$800,"Editorial")</f>
        <v>0</v>
      </c>
      <c r="D14" s="29" t="s">
        <v>128</v>
      </c>
      <c r="E14" s="23" t="n">
        <f aca="false">COUNTIF('Problem Log'!$D$3:$D$800,$D14)</f>
        <v>0</v>
      </c>
    </row>
    <row r="15" customFormat="false" ht="15" hidden="false" customHeight="false" outlineLevel="0" collapsed="false">
      <c r="A15" s="24" t="s">
        <v>129</v>
      </c>
      <c r="B15" s="30" t="n">
        <f aca="false">IFERROR(COUNTIF('Problem Log'!$I$3:$I$800,"Alone")/COUNT('Problem Log'!$B$3:$B$800),"")</f>
        <v>1</v>
      </c>
      <c r="D15" s="29" t="s">
        <v>130</v>
      </c>
      <c r="E15" s="23" t="n">
        <f aca="false">COUNTIF('Problem Log'!$D$3:$D$800,$D15)</f>
        <v>0</v>
      </c>
    </row>
    <row r="16" customFormat="false" ht="15" hidden="false" customHeight="false" outlineLevel="0" collapsed="false">
      <c r="D16" s="29" t="s">
        <v>131</v>
      </c>
      <c r="E16" s="23" t="n">
        <f aca="false">COUNTIF('Problem Log'!$D$3:$D$800,$D16)</f>
        <v>0</v>
      </c>
    </row>
    <row r="17" customFormat="false" ht="15" hidden="false" customHeight="false" outlineLevel="0" collapsed="false">
      <c r="A17" s="24" t="s">
        <v>95</v>
      </c>
      <c r="B17" s="28" t="n">
        <f aca="false">COUNTIF('Problem Log'!$G$3:$G$800,"Easy")</f>
        <v>1</v>
      </c>
      <c r="D17" s="29" t="s">
        <v>132</v>
      </c>
      <c r="E17" s="23" t="n">
        <f aca="false">COUNTIF('Problem Log'!$D$3:$D$800,$D17)</f>
        <v>0</v>
      </c>
    </row>
    <row r="18" customFormat="false" ht="15" hidden="false" customHeight="false" outlineLevel="0" collapsed="false">
      <c r="A18" s="24" t="s">
        <v>133</v>
      </c>
      <c r="B18" s="28" t="n">
        <f aca="false">COUNTIF('Problem Log'!$G$3:$G$800,"Medium")</f>
        <v>0</v>
      </c>
      <c r="D18" s="29" t="s">
        <v>134</v>
      </c>
      <c r="E18" s="23" t="n">
        <f aca="false">COUNTIF('Problem Log'!$D$3:$D$800,$D18)</f>
        <v>0</v>
      </c>
    </row>
    <row r="19" customFormat="false" ht="15" hidden="false" customHeight="false" outlineLevel="0" collapsed="false">
      <c r="A19" s="24" t="s">
        <v>135</v>
      </c>
      <c r="B19" s="28" t="n">
        <f aca="false">COUNTIF('Problem Log'!$G$3:$G$800,"Hard")</f>
        <v>0</v>
      </c>
      <c r="D19" s="29" t="s">
        <v>136</v>
      </c>
      <c r="E19" s="23" t="n">
        <f aca="false">COUNTIF('Problem Log'!$D$3:$D$800,$D19)</f>
        <v>0</v>
      </c>
    </row>
    <row r="20" customFormat="false" ht="15" hidden="false" customHeight="false" outlineLevel="0" collapsed="false">
      <c r="D20" s="29" t="s">
        <v>137</v>
      </c>
      <c r="E20" s="23" t="n">
        <f aca="false">COUNTIF('Problem Log'!$D$3:$D$800,$D20)</f>
        <v>0</v>
      </c>
    </row>
    <row r="21" customFormat="false" ht="15" hidden="false" customHeight="false" outlineLevel="0" collapsed="false">
      <c r="A21" s="24" t="s">
        <v>138</v>
      </c>
      <c r="B21" s="31" t="n">
        <f aca="false">IFERROR(AVERAGE('Problem Log'!$T$3:$T$800),"")</f>
        <v>4</v>
      </c>
      <c r="D21" s="29" t="s">
        <v>139</v>
      </c>
      <c r="E21" s="23" t="n">
        <f aca="false">COUNTIF('Problem Log'!$D$3:$D$800,$D21)</f>
        <v>0</v>
      </c>
    </row>
    <row r="22" customFormat="false" ht="15" hidden="false" customHeight="false" outlineLevel="0" collapsed="false">
      <c r="A22" s="24" t="s">
        <v>140</v>
      </c>
      <c r="B22" s="28" t="n">
        <f aca="false">IFERROR(AVERAGE('Problem Log'!$J$3:$J$800),"")</f>
        <v>18</v>
      </c>
      <c r="D22" s="29" t="s">
        <v>141</v>
      </c>
      <c r="E22" s="23" t="n">
        <f aca="false">COUNTIF('Problem Log'!$D$3:$D$800,$D22)</f>
        <v>0</v>
      </c>
    </row>
    <row r="23" customFormat="false" ht="15" hidden="false" customHeight="false" outlineLevel="0" collapsed="false">
      <c r="A23" s="24" t="s">
        <v>142</v>
      </c>
      <c r="B23" s="31" t="n">
        <f aca="false">IFERROR(SUM('Daily Log'!$E$3:$E$300),0)</f>
        <v>6</v>
      </c>
      <c r="D23" s="29" t="s">
        <v>143</v>
      </c>
      <c r="E23" s="23" t="n">
        <f aca="false">COUNTIF('Problem Log'!$D$3:$D$800,$D23)</f>
        <v>0</v>
      </c>
    </row>
    <row r="27" customFormat="false" ht="43.5" hidden="false" customHeight="true" outlineLevel="0" collapsed="false">
      <c r="A27" s="32" t="s">
        <v>144</v>
      </c>
      <c r="B27" s="32"/>
    </row>
  </sheetData>
  <mergeCells count="1">
    <mergeCell ref="A27:B27"/>
  </mergeCells>
  <conditionalFormatting sqref="B7">
    <cfRule type="cellIs" priority="2" operator="greaterThan" aboveAverage="0" equalAverage="0" bottom="0" percent="0" rank="0" text="" dxfId="11">
      <formula>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12"/>
    <col collapsed="false" customWidth="true" hidden="false" outlineLevel="0" max="4" min="4" style="0" width="22"/>
    <col collapsed="false" customWidth="true" hidden="false" outlineLevel="0" max="5" min="5" style="0" width="34"/>
    <col collapsed="false" customWidth="true" hidden="false" outlineLevel="0" max="6" min="6" style="0" width="16"/>
    <col collapsed="false" customWidth="true" hidden="false" outlineLevel="0" max="7" min="7" style="0" width="30"/>
    <col collapsed="false" customWidth="true" hidden="false" outlineLevel="0" max="9" min="8" style="0" width="8"/>
    <col collapsed="false" customWidth="true" hidden="false" outlineLevel="0" max="10" min="10" style="0" width="7"/>
    <col collapsed="false" customWidth="true" hidden="false" outlineLevel="0" max="11" min="11" style="0" width="13"/>
  </cols>
  <sheetData>
    <row r="1" customFormat="false" ht="15" hidden="false" customHeight="false" outlineLevel="0" collapsed="false">
      <c r="A1" s="10" t="s">
        <v>145</v>
      </c>
      <c r="B1" s="10"/>
      <c r="C1" s="10"/>
      <c r="D1" s="10"/>
      <c r="E1" s="10"/>
      <c r="F1" s="10"/>
      <c r="G1" s="10"/>
      <c r="H1" s="10"/>
      <c r="I1" s="10"/>
      <c r="J1" s="10"/>
      <c r="K1" s="10"/>
    </row>
    <row r="2" customFormat="false" ht="30" hidden="false" customHeight="true" outlineLevel="0" collapsed="false">
      <c r="A2" s="11" t="s">
        <v>72</v>
      </c>
      <c r="B2" s="11" t="s">
        <v>146</v>
      </c>
      <c r="C2" s="11" t="s">
        <v>147</v>
      </c>
      <c r="D2" s="11" t="s">
        <v>148</v>
      </c>
      <c r="E2" s="11" t="s">
        <v>149</v>
      </c>
      <c r="F2" s="11" t="s">
        <v>74</v>
      </c>
      <c r="G2" s="11" t="s">
        <v>150</v>
      </c>
      <c r="H2" s="11" t="s">
        <v>151</v>
      </c>
      <c r="I2" s="11" t="s">
        <v>152</v>
      </c>
      <c r="J2" s="11" t="s">
        <v>153</v>
      </c>
      <c r="K2" s="11" t="s">
        <v>154</v>
      </c>
    </row>
    <row r="3" customFormat="false" ht="15" hidden="false" customHeight="false" outlineLevel="0" collapsed="false">
      <c r="A3" s="33" t="n">
        <v>1</v>
      </c>
      <c r="B3" s="34" t="n">
        <v>46237</v>
      </c>
      <c r="C3" s="34" t="n">
        <v>46243</v>
      </c>
      <c r="D3" s="35" t="s">
        <v>155</v>
      </c>
      <c r="E3" s="35" t="s">
        <v>156</v>
      </c>
      <c r="F3" s="33" t="s">
        <v>157</v>
      </c>
      <c r="G3" s="35" t="s">
        <v>158</v>
      </c>
      <c r="H3" s="33" t="n">
        <v>16</v>
      </c>
      <c r="I3" s="23" t="n">
        <f aca="false">COUNTIF('Problem Log'!$C$3:$C$800,$A3)</f>
        <v>1</v>
      </c>
      <c r="J3" s="23" t="n">
        <f aca="false">IF($I3="","",$I3-$H3)</f>
        <v>-15</v>
      </c>
      <c r="K3" s="20"/>
    </row>
    <row r="4" customFormat="false" ht="15" hidden="false" customHeight="false" outlineLevel="0" collapsed="false">
      <c r="A4" s="33" t="n">
        <v>2</v>
      </c>
      <c r="B4" s="34" t="n">
        <v>46244</v>
      </c>
      <c r="C4" s="34" t="n">
        <v>46250</v>
      </c>
      <c r="D4" s="35" t="s">
        <v>155</v>
      </c>
      <c r="E4" s="35" t="s">
        <v>159</v>
      </c>
      <c r="F4" s="33" t="s">
        <v>160</v>
      </c>
      <c r="G4" s="35" t="s">
        <v>161</v>
      </c>
      <c r="H4" s="33" t="n">
        <v>18</v>
      </c>
      <c r="I4" s="23" t="n">
        <f aca="false">COUNTIF('Problem Log'!$C$3:$C$800,$A4)</f>
        <v>0</v>
      </c>
      <c r="J4" s="23" t="n">
        <f aca="false">IF($I4="","",$I4-$H4)</f>
        <v>-18</v>
      </c>
      <c r="K4" s="20"/>
    </row>
    <row r="5" customFormat="false" ht="15" hidden="false" customHeight="false" outlineLevel="0" collapsed="false">
      <c r="A5" s="33" t="n">
        <v>3</v>
      </c>
      <c r="B5" s="34" t="n">
        <v>46251</v>
      </c>
      <c r="C5" s="34" t="n">
        <v>46257</v>
      </c>
      <c r="D5" s="35" t="s">
        <v>155</v>
      </c>
      <c r="E5" s="35" t="s">
        <v>162</v>
      </c>
      <c r="F5" s="33" t="s">
        <v>163</v>
      </c>
      <c r="G5" s="35" t="s">
        <v>164</v>
      </c>
      <c r="H5" s="33" t="n">
        <v>18</v>
      </c>
      <c r="I5" s="23" t="n">
        <f aca="false">COUNTIF('Problem Log'!$C$3:$C$800,$A5)</f>
        <v>0</v>
      </c>
      <c r="J5" s="23" t="n">
        <f aca="false">IF($I5="","",$I5-$H5)</f>
        <v>-18</v>
      </c>
      <c r="K5" s="20"/>
    </row>
    <row r="6" customFormat="false" ht="15" hidden="false" customHeight="false" outlineLevel="0" collapsed="false">
      <c r="A6" s="33" t="n">
        <v>4</v>
      </c>
      <c r="B6" s="34" t="n">
        <v>46258</v>
      </c>
      <c r="C6" s="34" t="n">
        <v>46264</v>
      </c>
      <c r="D6" s="35" t="s">
        <v>155</v>
      </c>
      <c r="E6" s="35" t="s">
        <v>165</v>
      </c>
      <c r="F6" s="33" t="s">
        <v>166</v>
      </c>
      <c r="G6" s="35" t="s">
        <v>167</v>
      </c>
      <c r="H6" s="33" t="n">
        <v>16</v>
      </c>
      <c r="I6" s="23" t="n">
        <f aca="false">COUNTIF('Problem Log'!$C$3:$C$800,$A6)</f>
        <v>0</v>
      </c>
      <c r="J6" s="23" t="n">
        <f aca="false">IF($I6="","",$I6-$H6)</f>
        <v>-16</v>
      </c>
      <c r="K6" s="20"/>
    </row>
    <row r="7" customFormat="false" ht="15" hidden="false" customHeight="false" outlineLevel="0" collapsed="false">
      <c r="A7" s="33" t="n">
        <v>5</v>
      </c>
      <c r="B7" s="34" t="n">
        <v>46265</v>
      </c>
      <c r="C7" s="34" t="n">
        <v>46271</v>
      </c>
      <c r="D7" s="35" t="s">
        <v>168</v>
      </c>
      <c r="E7" s="35" t="s">
        <v>169</v>
      </c>
      <c r="F7" s="33" t="s">
        <v>170</v>
      </c>
      <c r="G7" s="35" t="s">
        <v>171</v>
      </c>
      <c r="H7" s="33" t="n">
        <v>16</v>
      </c>
      <c r="I7" s="23" t="n">
        <f aca="false">COUNTIF('Problem Log'!$C$3:$C$800,$A7)</f>
        <v>0</v>
      </c>
      <c r="J7" s="23" t="n">
        <f aca="false">IF($I7="","",$I7-$H7)</f>
        <v>-16</v>
      </c>
      <c r="K7" s="20"/>
    </row>
    <row r="8" customFormat="false" ht="15" hidden="false" customHeight="false" outlineLevel="0" collapsed="false">
      <c r="A8" s="33" t="n">
        <v>6</v>
      </c>
      <c r="B8" s="34" t="n">
        <v>46272</v>
      </c>
      <c r="C8" s="34" t="n">
        <v>46278</v>
      </c>
      <c r="D8" s="35" t="s">
        <v>168</v>
      </c>
      <c r="E8" s="35" t="s">
        <v>172</v>
      </c>
      <c r="F8" s="33" t="s">
        <v>173</v>
      </c>
      <c r="G8" s="35" t="s">
        <v>174</v>
      </c>
      <c r="H8" s="33" t="n">
        <v>14</v>
      </c>
      <c r="I8" s="23" t="n">
        <f aca="false">COUNTIF('Problem Log'!$C$3:$C$800,$A8)</f>
        <v>0</v>
      </c>
      <c r="J8" s="23" t="n">
        <f aca="false">IF($I8="","",$I8-$H8)</f>
        <v>-14</v>
      </c>
      <c r="K8" s="20"/>
    </row>
    <row r="9" customFormat="false" ht="15" hidden="false" customHeight="false" outlineLevel="0" collapsed="false">
      <c r="A9" s="33" t="n">
        <v>7</v>
      </c>
      <c r="B9" s="34" t="n">
        <v>46279</v>
      </c>
      <c r="C9" s="34" t="n">
        <v>46285</v>
      </c>
      <c r="D9" s="35" t="s">
        <v>168</v>
      </c>
      <c r="E9" s="35" t="s">
        <v>175</v>
      </c>
      <c r="F9" s="33" t="s">
        <v>176</v>
      </c>
      <c r="G9" s="35" t="s">
        <v>177</v>
      </c>
      <c r="H9" s="33" t="n">
        <v>15</v>
      </c>
      <c r="I9" s="23" t="n">
        <f aca="false">COUNTIF('Problem Log'!$C$3:$C$800,$A9)</f>
        <v>0</v>
      </c>
      <c r="J9" s="23" t="n">
        <f aca="false">IF($I9="","",$I9-$H9)</f>
        <v>-15</v>
      </c>
      <c r="K9" s="20"/>
    </row>
    <row r="10" customFormat="false" ht="15" hidden="false" customHeight="false" outlineLevel="0" collapsed="false">
      <c r="A10" s="33" t="n">
        <v>8</v>
      </c>
      <c r="B10" s="34" t="n">
        <v>46286</v>
      </c>
      <c r="C10" s="34" t="n">
        <v>46292</v>
      </c>
      <c r="D10" s="35" t="s">
        <v>168</v>
      </c>
      <c r="E10" s="35" t="s">
        <v>178</v>
      </c>
      <c r="F10" s="33" t="s">
        <v>179</v>
      </c>
      <c r="G10" s="35" t="s">
        <v>180</v>
      </c>
      <c r="H10" s="33" t="n">
        <v>15</v>
      </c>
      <c r="I10" s="23" t="n">
        <f aca="false">COUNTIF('Problem Log'!$C$3:$C$800,$A10)</f>
        <v>0</v>
      </c>
      <c r="J10" s="23" t="n">
        <f aca="false">IF($I10="","",$I10-$H10)</f>
        <v>-15</v>
      </c>
      <c r="K10" s="20"/>
    </row>
    <row r="11" customFormat="false" ht="15" hidden="false" customHeight="false" outlineLevel="0" collapsed="false">
      <c r="A11" s="33" t="n">
        <v>9</v>
      </c>
      <c r="B11" s="34" t="n">
        <v>46293</v>
      </c>
      <c r="C11" s="34" t="n">
        <v>46299</v>
      </c>
      <c r="D11" s="35" t="s">
        <v>181</v>
      </c>
      <c r="E11" s="35" t="s">
        <v>182</v>
      </c>
      <c r="F11" s="33" t="s">
        <v>183</v>
      </c>
      <c r="G11" s="35" t="s">
        <v>184</v>
      </c>
      <c r="H11" s="33" t="n">
        <v>15</v>
      </c>
      <c r="I11" s="23" t="n">
        <f aca="false">COUNTIF('Problem Log'!$C$3:$C$800,$A11)</f>
        <v>0</v>
      </c>
      <c r="J11" s="23" t="n">
        <f aca="false">IF($I11="","",$I11-$H11)</f>
        <v>-15</v>
      </c>
      <c r="K11" s="20"/>
    </row>
    <row r="12" customFormat="false" ht="15" hidden="false" customHeight="false" outlineLevel="0" collapsed="false">
      <c r="A12" s="33" t="n">
        <v>10</v>
      </c>
      <c r="B12" s="34" t="n">
        <v>46300</v>
      </c>
      <c r="C12" s="34" t="n">
        <v>46306</v>
      </c>
      <c r="D12" s="35" t="s">
        <v>181</v>
      </c>
      <c r="E12" s="35" t="s">
        <v>185</v>
      </c>
      <c r="F12" s="33" t="s">
        <v>186</v>
      </c>
      <c r="G12" s="35" t="s">
        <v>187</v>
      </c>
      <c r="H12" s="33" t="n">
        <v>14</v>
      </c>
      <c r="I12" s="23" t="n">
        <f aca="false">COUNTIF('Problem Log'!$C$3:$C$800,$A12)</f>
        <v>0</v>
      </c>
      <c r="J12" s="23" t="n">
        <f aca="false">IF($I12="","",$I12-$H12)</f>
        <v>-14</v>
      </c>
      <c r="K12" s="20"/>
    </row>
    <row r="13" customFormat="false" ht="15" hidden="false" customHeight="false" outlineLevel="0" collapsed="false">
      <c r="A13" s="33" t="n">
        <v>11</v>
      </c>
      <c r="B13" s="34" t="n">
        <v>46307</v>
      </c>
      <c r="C13" s="34" t="n">
        <v>46313</v>
      </c>
      <c r="D13" s="35" t="s">
        <v>181</v>
      </c>
      <c r="E13" s="35" t="s">
        <v>188</v>
      </c>
      <c r="F13" s="33" t="s">
        <v>189</v>
      </c>
      <c r="G13" s="35" t="s">
        <v>190</v>
      </c>
      <c r="H13" s="33" t="n">
        <v>14</v>
      </c>
      <c r="I13" s="23" t="n">
        <f aca="false">COUNTIF('Problem Log'!$C$3:$C$800,$A13)</f>
        <v>0</v>
      </c>
      <c r="J13" s="23" t="n">
        <f aca="false">IF($I13="","",$I13-$H13)</f>
        <v>-14</v>
      </c>
      <c r="K13" s="20"/>
    </row>
    <row r="14" customFormat="false" ht="15" hidden="false" customHeight="false" outlineLevel="0" collapsed="false">
      <c r="A14" s="33" t="n">
        <v>12</v>
      </c>
      <c r="B14" s="34" t="n">
        <v>46314</v>
      </c>
      <c r="C14" s="34" t="n">
        <v>46320</v>
      </c>
      <c r="D14" s="35" t="s">
        <v>181</v>
      </c>
      <c r="E14" s="35" t="s">
        <v>191</v>
      </c>
      <c r="F14" s="33" t="s">
        <v>192</v>
      </c>
      <c r="G14" s="35" t="s">
        <v>193</v>
      </c>
      <c r="H14" s="33" t="n">
        <v>12</v>
      </c>
      <c r="I14" s="23" t="n">
        <f aca="false">COUNTIF('Problem Log'!$C$3:$C$800,$A14)</f>
        <v>0</v>
      </c>
      <c r="J14" s="23" t="n">
        <f aca="false">IF($I14="","",$I14-$H14)</f>
        <v>-12</v>
      </c>
      <c r="K14" s="20"/>
    </row>
    <row r="15" customFormat="false" ht="23.85" hidden="false" customHeight="false" outlineLevel="0" collapsed="false">
      <c r="A15" s="33" t="n">
        <v>13</v>
      </c>
      <c r="B15" s="34" t="n">
        <v>46321</v>
      </c>
      <c r="C15" s="34" t="n">
        <v>46327</v>
      </c>
      <c r="D15" s="35" t="s">
        <v>194</v>
      </c>
      <c r="E15" s="35" t="s">
        <v>195</v>
      </c>
      <c r="F15" s="33" t="s">
        <v>196</v>
      </c>
      <c r="G15" s="35" t="s">
        <v>197</v>
      </c>
      <c r="H15" s="33" t="n">
        <v>16</v>
      </c>
      <c r="I15" s="23" t="n">
        <f aca="false">COUNTIF('Problem Log'!$C$3:$C$800,$A15)</f>
        <v>0</v>
      </c>
      <c r="J15" s="23" t="n">
        <f aca="false">IF($I15="","",$I15-$H15)</f>
        <v>-16</v>
      </c>
      <c r="K15" s="20"/>
    </row>
    <row r="16" customFormat="false" ht="23.85" hidden="false" customHeight="false" outlineLevel="0" collapsed="false">
      <c r="A16" s="33" t="n">
        <v>14</v>
      </c>
      <c r="B16" s="34" t="n">
        <v>46328</v>
      </c>
      <c r="C16" s="34" t="n">
        <v>46334</v>
      </c>
      <c r="D16" s="35" t="s">
        <v>194</v>
      </c>
      <c r="E16" s="35" t="s">
        <v>198</v>
      </c>
      <c r="F16" s="33" t="s">
        <v>199</v>
      </c>
      <c r="G16" s="35" t="s">
        <v>200</v>
      </c>
      <c r="H16" s="33" t="n">
        <v>14</v>
      </c>
      <c r="I16" s="23" t="n">
        <f aca="false">COUNTIF('Problem Log'!$C$3:$C$800,$A16)</f>
        <v>0</v>
      </c>
      <c r="J16" s="23" t="n">
        <f aca="false">IF($I16="","",$I16-$H16)</f>
        <v>-14</v>
      </c>
      <c r="K16" s="20"/>
    </row>
    <row r="17" customFormat="false" ht="23.85" hidden="false" customHeight="false" outlineLevel="0" collapsed="false">
      <c r="A17" s="33" t="n">
        <v>15</v>
      </c>
      <c r="B17" s="34" t="n">
        <v>46335</v>
      </c>
      <c r="C17" s="34" t="n">
        <v>46341</v>
      </c>
      <c r="D17" s="35" t="s">
        <v>194</v>
      </c>
      <c r="E17" s="35" t="s">
        <v>201</v>
      </c>
      <c r="F17" s="33" t="s">
        <v>202</v>
      </c>
      <c r="G17" s="35" t="s">
        <v>203</v>
      </c>
      <c r="H17" s="33" t="n">
        <v>13</v>
      </c>
      <c r="I17" s="23" t="n">
        <f aca="false">COUNTIF('Problem Log'!$C$3:$C$800,$A17)</f>
        <v>0</v>
      </c>
      <c r="J17" s="23" t="n">
        <f aca="false">IF($I17="","",$I17-$H17)</f>
        <v>-13</v>
      </c>
      <c r="K17" s="20"/>
    </row>
    <row r="18" customFormat="false" ht="23.85" hidden="false" customHeight="false" outlineLevel="0" collapsed="false">
      <c r="A18" s="33" t="n">
        <v>16</v>
      </c>
      <c r="B18" s="34" t="n">
        <v>46342</v>
      </c>
      <c r="C18" s="34" t="n">
        <v>46348</v>
      </c>
      <c r="D18" s="35" t="s">
        <v>194</v>
      </c>
      <c r="E18" s="35" t="s">
        <v>204</v>
      </c>
      <c r="F18" s="33" t="s">
        <v>205</v>
      </c>
      <c r="G18" s="35" t="s">
        <v>206</v>
      </c>
      <c r="H18" s="33" t="n">
        <v>12</v>
      </c>
      <c r="I18" s="23" t="n">
        <f aca="false">COUNTIF('Problem Log'!$C$3:$C$800,$A18)</f>
        <v>0</v>
      </c>
      <c r="J18" s="23" t="n">
        <f aca="false">IF($I18="","",$I18-$H18)</f>
        <v>-12</v>
      </c>
      <c r="K18" s="20"/>
    </row>
    <row r="19" customFormat="false" ht="23.85" hidden="false" customHeight="false" outlineLevel="0" collapsed="false">
      <c r="A19" s="33" t="n">
        <v>17</v>
      </c>
      <c r="B19" s="34" t="n">
        <v>46349</v>
      </c>
      <c r="C19" s="34" t="n">
        <v>46355</v>
      </c>
      <c r="D19" s="35" t="s">
        <v>207</v>
      </c>
      <c r="E19" s="35" t="s">
        <v>208</v>
      </c>
      <c r="F19" s="33" t="s">
        <v>209</v>
      </c>
      <c r="G19" s="35" t="s">
        <v>210</v>
      </c>
      <c r="H19" s="33" t="n">
        <v>14</v>
      </c>
      <c r="I19" s="23" t="n">
        <f aca="false">COUNTIF('Problem Log'!$C$3:$C$800,$A19)</f>
        <v>0</v>
      </c>
      <c r="J19" s="23" t="n">
        <f aca="false">IF($I19="","",$I19-$H19)</f>
        <v>-14</v>
      </c>
      <c r="K19" s="20"/>
    </row>
    <row r="20" customFormat="false" ht="23.85" hidden="false" customHeight="false" outlineLevel="0" collapsed="false">
      <c r="A20" s="33" t="n">
        <v>18</v>
      </c>
      <c r="B20" s="34" t="n">
        <v>46356</v>
      </c>
      <c r="C20" s="34" t="n">
        <v>46362</v>
      </c>
      <c r="D20" s="35" t="s">
        <v>207</v>
      </c>
      <c r="E20" s="35" t="s">
        <v>211</v>
      </c>
      <c r="F20" s="33" t="s">
        <v>212</v>
      </c>
      <c r="G20" s="35" t="s">
        <v>213</v>
      </c>
      <c r="H20" s="33" t="n">
        <v>13</v>
      </c>
      <c r="I20" s="23" t="n">
        <f aca="false">COUNTIF('Problem Log'!$C$3:$C$800,$A20)</f>
        <v>0</v>
      </c>
      <c r="J20" s="23" t="n">
        <f aca="false">IF($I20="","",$I20-$H20)</f>
        <v>-13</v>
      </c>
      <c r="K20" s="20"/>
    </row>
    <row r="21" customFormat="false" ht="23.85" hidden="false" customHeight="false" outlineLevel="0" collapsed="false">
      <c r="A21" s="33" t="n">
        <v>19</v>
      </c>
      <c r="B21" s="34" t="n">
        <v>46363</v>
      </c>
      <c r="C21" s="34" t="n">
        <v>46369</v>
      </c>
      <c r="D21" s="35" t="s">
        <v>207</v>
      </c>
      <c r="E21" s="35" t="s">
        <v>214</v>
      </c>
      <c r="F21" s="33" t="s">
        <v>215</v>
      </c>
      <c r="G21" s="35" t="s">
        <v>216</v>
      </c>
      <c r="H21" s="33" t="n">
        <v>16</v>
      </c>
      <c r="I21" s="23" t="n">
        <f aca="false">COUNTIF('Problem Log'!$C$3:$C$800,$A21)</f>
        <v>0</v>
      </c>
      <c r="J21" s="23" t="n">
        <f aca="false">IF($I21="","",$I21-$H21)</f>
        <v>-16</v>
      </c>
      <c r="K21" s="20"/>
    </row>
    <row r="22" customFormat="false" ht="23.85" hidden="false" customHeight="false" outlineLevel="0" collapsed="false">
      <c r="A22" s="33" t="n">
        <v>20</v>
      </c>
      <c r="B22" s="34" t="n">
        <v>46370</v>
      </c>
      <c r="C22" s="34" t="n">
        <v>46376</v>
      </c>
      <c r="D22" s="35" t="s">
        <v>207</v>
      </c>
      <c r="E22" s="35" t="s">
        <v>217</v>
      </c>
      <c r="F22" s="33" t="s">
        <v>218</v>
      </c>
      <c r="G22" s="35" t="s">
        <v>219</v>
      </c>
      <c r="H22" s="33" t="n">
        <v>15</v>
      </c>
      <c r="I22" s="23" t="n">
        <f aca="false">COUNTIF('Problem Log'!$C$3:$C$800,$A22)</f>
        <v>0</v>
      </c>
      <c r="J22" s="23" t="n">
        <f aca="false">IF($I22="","",$I22-$H22)</f>
        <v>-15</v>
      </c>
      <c r="K22" s="20"/>
    </row>
    <row r="23" customFormat="false" ht="15" hidden="false" customHeight="false" outlineLevel="0" collapsed="false">
      <c r="A23" s="33" t="n">
        <v>21</v>
      </c>
      <c r="B23" s="34" t="n">
        <v>46377</v>
      </c>
      <c r="C23" s="34" t="n">
        <v>46383</v>
      </c>
      <c r="D23" s="35" t="s">
        <v>220</v>
      </c>
      <c r="E23" s="35" t="s">
        <v>221</v>
      </c>
      <c r="F23" s="33" t="s">
        <v>222</v>
      </c>
      <c r="G23" s="35" t="s">
        <v>223</v>
      </c>
      <c r="H23" s="33" t="n">
        <v>14</v>
      </c>
      <c r="I23" s="23" t="n">
        <f aca="false">COUNTIF('Problem Log'!$C$3:$C$800,$A23)</f>
        <v>0</v>
      </c>
      <c r="J23" s="23" t="n">
        <f aca="false">IF($I23="","",$I23-$H23)</f>
        <v>-14</v>
      </c>
      <c r="K23" s="20"/>
    </row>
    <row r="24" customFormat="false" ht="15" hidden="false" customHeight="false" outlineLevel="0" collapsed="false">
      <c r="A24" s="33" t="n">
        <v>22</v>
      </c>
      <c r="B24" s="34" t="n">
        <v>46384</v>
      </c>
      <c r="C24" s="34" t="n">
        <v>46390</v>
      </c>
      <c r="D24" s="35" t="s">
        <v>220</v>
      </c>
      <c r="E24" s="35" t="s">
        <v>224</v>
      </c>
      <c r="F24" s="33" t="s">
        <v>225</v>
      </c>
      <c r="G24" s="35" t="s">
        <v>226</v>
      </c>
      <c r="H24" s="33" t="n">
        <v>15</v>
      </c>
      <c r="I24" s="23" t="n">
        <f aca="false">COUNTIF('Problem Log'!$C$3:$C$800,$A24)</f>
        <v>0</v>
      </c>
      <c r="J24" s="23" t="n">
        <f aca="false">IF($I24="","",$I24-$H24)</f>
        <v>-15</v>
      </c>
      <c r="K24" s="20"/>
    </row>
    <row r="25" customFormat="false" ht="15" hidden="false" customHeight="false" outlineLevel="0" collapsed="false">
      <c r="A25" s="33" t="n">
        <v>23</v>
      </c>
      <c r="B25" s="34" t="n">
        <v>46391</v>
      </c>
      <c r="C25" s="34" t="n">
        <v>46397</v>
      </c>
      <c r="D25" s="35" t="s">
        <v>220</v>
      </c>
      <c r="E25" s="35" t="s">
        <v>227</v>
      </c>
      <c r="F25" s="33" t="s">
        <v>228</v>
      </c>
      <c r="G25" s="35" t="s">
        <v>229</v>
      </c>
      <c r="H25" s="33" t="n">
        <v>13</v>
      </c>
      <c r="I25" s="23" t="n">
        <f aca="false">COUNTIF('Problem Log'!$C$3:$C$800,$A25)</f>
        <v>0</v>
      </c>
      <c r="J25" s="23" t="n">
        <f aca="false">IF($I25="","",$I25-$H25)</f>
        <v>-13</v>
      </c>
      <c r="K25" s="20"/>
    </row>
    <row r="26" customFormat="false" ht="15" hidden="false" customHeight="false" outlineLevel="0" collapsed="false">
      <c r="A26" s="33" t="n">
        <v>24</v>
      </c>
      <c r="B26" s="34" t="n">
        <v>46398</v>
      </c>
      <c r="C26" s="34" t="n">
        <v>46404</v>
      </c>
      <c r="D26" s="35" t="s">
        <v>220</v>
      </c>
      <c r="E26" s="35" t="s">
        <v>230</v>
      </c>
      <c r="F26" s="33" t="s">
        <v>231</v>
      </c>
      <c r="G26" s="35" t="s">
        <v>232</v>
      </c>
      <c r="H26" s="33" t="n">
        <v>13</v>
      </c>
      <c r="I26" s="23" t="n">
        <f aca="false">COUNTIF('Problem Log'!$C$3:$C$800,$A26)</f>
        <v>0</v>
      </c>
      <c r="J26" s="23" t="n">
        <f aca="false">IF($I26="","",$I26-$H26)</f>
        <v>-13</v>
      </c>
      <c r="K26" s="20"/>
    </row>
    <row r="27" customFormat="false" ht="15" hidden="false" customHeight="false" outlineLevel="0" collapsed="false">
      <c r="A27" s="33" t="n">
        <v>25</v>
      </c>
      <c r="B27" s="34" t="n">
        <v>46405</v>
      </c>
      <c r="C27" s="34" t="n">
        <v>46411</v>
      </c>
      <c r="D27" s="35" t="s">
        <v>233</v>
      </c>
      <c r="E27" s="35" t="s">
        <v>234</v>
      </c>
      <c r="F27" s="33" t="s">
        <v>235</v>
      </c>
      <c r="G27" s="35" t="s">
        <v>236</v>
      </c>
      <c r="H27" s="33" t="n">
        <v>13</v>
      </c>
      <c r="I27" s="23" t="n">
        <f aca="false">COUNTIF('Problem Log'!$C$3:$C$800,$A27)</f>
        <v>0</v>
      </c>
      <c r="J27" s="23" t="n">
        <f aca="false">IF($I27="","",$I27-$H27)</f>
        <v>-13</v>
      </c>
      <c r="K27" s="20"/>
    </row>
    <row r="28" customFormat="false" ht="15" hidden="false" customHeight="false" outlineLevel="0" collapsed="false">
      <c r="A28" s="33" t="n">
        <v>26</v>
      </c>
      <c r="B28" s="34" t="n">
        <v>46412</v>
      </c>
      <c r="C28" s="34" t="n">
        <v>46418</v>
      </c>
      <c r="D28" s="35" t="s">
        <v>233</v>
      </c>
      <c r="E28" s="35" t="s">
        <v>237</v>
      </c>
      <c r="F28" s="33" t="s">
        <v>238</v>
      </c>
      <c r="G28" s="35" t="s">
        <v>239</v>
      </c>
      <c r="H28" s="33" t="n">
        <v>14</v>
      </c>
      <c r="I28" s="23" t="n">
        <f aca="false">COUNTIF('Problem Log'!$C$3:$C$800,$A28)</f>
        <v>0</v>
      </c>
      <c r="J28" s="23" t="n">
        <f aca="false">IF($I28="","",$I28-$H28)</f>
        <v>-14</v>
      </c>
      <c r="K28" s="20"/>
    </row>
    <row r="29" customFormat="false" ht="15" hidden="false" customHeight="false" outlineLevel="0" collapsed="false">
      <c r="A29" s="33" t="n">
        <v>27</v>
      </c>
      <c r="B29" s="34" t="n">
        <v>46419</v>
      </c>
      <c r="C29" s="34" t="n">
        <v>46425</v>
      </c>
      <c r="D29" s="35" t="s">
        <v>233</v>
      </c>
      <c r="E29" s="35" t="s">
        <v>240</v>
      </c>
      <c r="F29" s="33" t="s">
        <v>241</v>
      </c>
      <c r="G29" s="35" t="s">
        <v>242</v>
      </c>
      <c r="H29" s="33" t="n">
        <v>15</v>
      </c>
      <c r="I29" s="23" t="n">
        <f aca="false">COUNTIF('Problem Log'!$C$3:$C$800,$A29)</f>
        <v>0</v>
      </c>
      <c r="J29" s="23" t="n">
        <f aca="false">IF($I29="","",$I29-$H29)</f>
        <v>-15</v>
      </c>
      <c r="K29" s="20"/>
    </row>
    <row r="30" customFormat="false" ht="15" hidden="false" customHeight="false" outlineLevel="0" collapsed="false">
      <c r="A30" s="33" t="n">
        <v>28</v>
      </c>
      <c r="B30" s="34" t="n">
        <v>46426</v>
      </c>
      <c r="C30" s="34" t="n">
        <v>46432</v>
      </c>
      <c r="D30" s="35" t="s">
        <v>233</v>
      </c>
      <c r="E30" s="35" t="s">
        <v>243</v>
      </c>
      <c r="F30" s="33" t="s">
        <v>244</v>
      </c>
      <c r="G30" s="35" t="s">
        <v>245</v>
      </c>
      <c r="H30" s="33" t="n">
        <v>12</v>
      </c>
      <c r="I30" s="23" t="n">
        <f aca="false">COUNTIF('Problem Log'!$C$3:$C$800,$A30)</f>
        <v>0</v>
      </c>
      <c r="J30" s="23" t="n">
        <f aca="false">IF($I30="","",$I30-$H30)</f>
        <v>-12</v>
      </c>
      <c r="K30" s="20"/>
    </row>
    <row r="31" customFormat="false" ht="15" hidden="false" customHeight="false" outlineLevel="0" collapsed="false">
      <c r="A31" s="33" t="n">
        <v>29</v>
      </c>
      <c r="B31" s="34" t="n">
        <v>46433</v>
      </c>
      <c r="C31" s="34" t="n">
        <v>46439</v>
      </c>
      <c r="D31" s="35" t="s">
        <v>246</v>
      </c>
      <c r="E31" s="35" t="s">
        <v>247</v>
      </c>
      <c r="F31" s="33" t="s">
        <v>248</v>
      </c>
      <c r="G31" s="35" t="s">
        <v>245</v>
      </c>
      <c r="H31" s="33" t="n">
        <v>14</v>
      </c>
      <c r="I31" s="23" t="n">
        <f aca="false">COUNTIF('Problem Log'!$C$3:$C$800,$A31)</f>
        <v>0</v>
      </c>
      <c r="J31" s="23" t="n">
        <f aca="false">IF($I31="","",$I31-$H31)</f>
        <v>-14</v>
      </c>
      <c r="K31" s="20"/>
    </row>
    <row r="32" customFormat="false" ht="15" hidden="false" customHeight="false" outlineLevel="0" collapsed="false">
      <c r="A32" s="33" t="n">
        <v>30</v>
      </c>
      <c r="B32" s="34" t="n">
        <v>46440</v>
      </c>
      <c r="C32" s="34" t="n">
        <v>46446</v>
      </c>
      <c r="D32" s="35" t="s">
        <v>246</v>
      </c>
      <c r="E32" s="35" t="s">
        <v>249</v>
      </c>
      <c r="F32" s="33" t="s">
        <v>250</v>
      </c>
      <c r="G32" s="35" t="s">
        <v>245</v>
      </c>
      <c r="H32" s="33" t="n">
        <v>20</v>
      </c>
      <c r="I32" s="23" t="n">
        <f aca="false">COUNTIF('Problem Log'!$C$3:$C$800,$A32)</f>
        <v>0</v>
      </c>
      <c r="J32" s="23" t="n">
        <f aca="false">IF($I32="","",$I32-$H32)</f>
        <v>-20</v>
      </c>
      <c r="K32" s="20"/>
    </row>
    <row r="33" customFormat="false" ht="15" hidden="false" customHeight="false" outlineLevel="0" collapsed="false">
      <c r="A33" s="33" t="n">
        <v>31</v>
      </c>
      <c r="B33" s="34" t="n">
        <v>46447</v>
      </c>
      <c r="C33" s="34" t="n">
        <v>46453</v>
      </c>
      <c r="D33" s="35" t="s">
        <v>246</v>
      </c>
      <c r="E33" s="35" t="s">
        <v>251</v>
      </c>
      <c r="F33" s="33" t="s">
        <v>252</v>
      </c>
      <c r="G33" s="35" t="s">
        <v>245</v>
      </c>
      <c r="H33" s="33" t="n">
        <v>20</v>
      </c>
      <c r="I33" s="23" t="n">
        <f aca="false">COUNTIF('Problem Log'!$C$3:$C$800,$A33)</f>
        <v>0</v>
      </c>
      <c r="J33" s="23" t="n">
        <f aca="false">IF($I33="","",$I33-$H33)</f>
        <v>-20</v>
      </c>
      <c r="K33" s="20"/>
    </row>
    <row r="34" customFormat="false" ht="15" hidden="false" customHeight="false" outlineLevel="0" collapsed="false">
      <c r="A34" s="33" t="n">
        <v>32</v>
      </c>
      <c r="B34" s="34" t="n">
        <v>46454</v>
      </c>
      <c r="C34" s="34" t="n">
        <v>46460</v>
      </c>
      <c r="D34" s="35" t="s">
        <v>246</v>
      </c>
      <c r="E34" s="35" t="s">
        <v>253</v>
      </c>
      <c r="F34" s="33" t="s">
        <v>254</v>
      </c>
      <c r="G34" s="35" t="s">
        <v>255</v>
      </c>
      <c r="H34" s="33" t="n">
        <v>12</v>
      </c>
      <c r="I34" s="23" t="n">
        <f aca="false">COUNTIF('Problem Log'!$C$3:$C$800,$A34)</f>
        <v>0</v>
      </c>
      <c r="J34" s="23" t="n">
        <f aca="false">IF($I34="","",$I34-$H34)</f>
        <v>-12</v>
      </c>
      <c r="K34" s="20"/>
    </row>
    <row r="35" customFormat="false" ht="15" hidden="false" customHeight="false" outlineLevel="0" collapsed="false">
      <c r="G35" s="24" t="s">
        <v>256</v>
      </c>
      <c r="H35" s="36" t="n">
        <f aca="false">SUM($H$3:$H$34)</f>
        <v>471</v>
      </c>
      <c r="I35" s="36" t="n">
        <f aca="false">SUM($I$3:$I$34)</f>
        <v>1</v>
      </c>
      <c r="J35" s="36" t="n">
        <f aca="false">SUM($J$3:$J$34)</f>
        <v>-470</v>
      </c>
    </row>
  </sheetData>
  <mergeCells count="1">
    <mergeCell ref="A1:K1"/>
  </mergeCells>
  <conditionalFormatting sqref="K3:K34">
    <cfRule type="cellIs" priority="2" operator="equal" aboveAverage="0" equalAverage="0" bottom="0" percent="0" rank="0" text="" dxfId="8">
      <formula>"Done"</formula>
    </cfRule>
    <cfRule type="cellIs" priority="3" operator="equal" aboveAverage="0" equalAverage="0" bottom="0" percent="0" rank="0" text="" dxfId="11">
      <formula>"Slipped"</formula>
    </cfRule>
  </conditionalFormatting>
  <conditionalFormatting sqref="J3:J34">
    <cfRule type="cellIs" priority="4" operator="lessThan" aboveAverage="0" equalAverage="0" bottom="0" percent="0" rank="0" text="" dxfId="10">
      <formula>-4</formula>
    </cfRule>
  </conditionalFormatting>
  <dataValidations count="1">
    <dataValidation allowBlank="true" errorStyle="stop" operator="between" showDropDown="false" showErrorMessage="false" showInputMessage="false" sqref="K3:K34" type="list">
      <formula1>"Not started,In progress,Done,Slipped"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42"/>
    <col collapsed="false" customWidth="true" hidden="false" outlineLevel="0" max="4" min="4" style="0" width="10"/>
    <col collapsed="false" customWidth="true" hidden="false" outlineLevel="0" max="5" min="5" style="0" width="11"/>
    <col collapsed="false" customWidth="true" hidden="false" outlineLevel="0" max="7" min="6" style="0" width="10"/>
    <col collapsed="false" customWidth="true" hidden="false" outlineLevel="0" max="8" min="8" style="0" width="40"/>
  </cols>
  <sheetData>
    <row r="1" customFormat="false" ht="15" hidden="false" customHeight="false" outlineLevel="0" collapsed="false">
      <c r="A1" s="10" t="s">
        <v>257</v>
      </c>
      <c r="B1" s="10"/>
      <c r="C1" s="10"/>
      <c r="D1" s="10"/>
      <c r="E1" s="10"/>
      <c r="F1" s="10"/>
      <c r="G1" s="10"/>
      <c r="H1" s="10"/>
    </row>
    <row r="2" customFormat="false" ht="30" hidden="false" customHeight="true" outlineLevel="0" collapsed="false">
      <c r="A2" s="11" t="s">
        <v>258</v>
      </c>
      <c r="B2" s="11" t="s">
        <v>259</v>
      </c>
      <c r="C2" s="11" t="s">
        <v>260</v>
      </c>
      <c r="D2" s="11" t="s">
        <v>261</v>
      </c>
      <c r="E2" s="11" t="s">
        <v>262</v>
      </c>
      <c r="F2" s="11" t="s">
        <v>263</v>
      </c>
      <c r="G2" s="11" t="s">
        <v>264</v>
      </c>
      <c r="H2" s="11" t="s">
        <v>265</v>
      </c>
    </row>
    <row r="3" customFormat="false" ht="15" hidden="false" customHeight="false" outlineLevel="0" collapsed="false">
      <c r="A3" s="33" t="n">
        <v>1</v>
      </c>
      <c r="B3" s="29" t="s">
        <v>266</v>
      </c>
      <c r="C3" s="29" t="s">
        <v>267</v>
      </c>
      <c r="D3" s="33" t="n">
        <v>8</v>
      </c>
      <c r="E3" s="33" t="n">
        <v>1</v>
      </c>
      <c r="F3" s="20"/>
      <c r="G3" s="20"/>
      <c r="H3" s="21"/>
    </row>
    <row r="4" customFormat="false" ht="15" hidden="false" customHeight="false" outlineLevel="0" collapsed="false">
      <c r="A4" s="33" t="n">
        <v>1</v>
      </c>
      <c r="B4" s="29" t="s">
        <v>266</v>
      </c>
      <c r="C4" s="29" t="s">
        <v>268</v>
      </c>
      <c r="D4" s="33" t="n">
        <v>1</v>
      </c>
      <c r="E4" s="33" t="n">
        <v>1</v>
      </c>
      <c r="F4" s="20"/>
      <c r="G4" s="20"/>
      <c r="H4" s="21"/>
    </row>
    <row r="5" customFormat="false" ht="15" hidden="false" customHeight="false" outlineLevel="0" collapsed="false">
      <c r="A5" s="33" t="n">
        <v>1</v>
      </c>
      <c r="B5" s="29" t="s">
        <v>266</v>
      </c>
      <c r="C5" s="29" t="s">
        <v>269</v>
      </c>
      <c r="D5" s="33" t="n">
        <v>2</v>
      </c>
      <c r="E5" s="33" t="n">
        <v>2</v>
      </c>
      <c r="F5" s="20"/>
      <c r="G5" s="20"/>
      <c r="H5" s="21"/>
    </row>
    <row r="6" customFormat="false" ht="15" hidden="false" customHeight="false" outlineLevel="0" collapsed="false">
      <c r="A6" s="33" t="n">
        <v>1</v>
      </c>
      <c r="B6" s="29" t="s">
        <v>266</v>
      </c>
      <c r="C6" s="29" t="s">
        <v>270</v>
      </c>
      <c r="D6" s="33" t="n">
        <v>7</v>
      </c>
      <c r="E6" s="33" t="n">
        <v>2</v>
      </c>
      <c r="F6" s="20"/>
      <c r="G6" s="20"/>
      <c r="H6" s="21"/>
    </row>
    <row r="7" customFormat="false" ht="15" hidden="false" customHeight="false" outlineLevel="0" collapsed="false">
      <c r="A7" s="33" t="n">
        <v>1</v>
      </c>
      <c r="B7" s="29" t="s">
        <v>266</v>
      </c>
      <c r="C7" s="29" t="s">
        <v>271</v>
      </c>
      <c r="D7" s="33" t="n">
        <v>9</v>
      </c>
      <c r="E7" s="33" t="n">
        <v>2</v>
      </c>
      <c r="F7" s="20"/>
      <c r="G7" s="20"/>
      <c r="H7" s="21"/>
    </row>
    <row r="8" customFormat="false" ht="15" hidden="false" customHeight="false" outlineLevel="0" collapsed="false">
      <c r="A8" s="33" t="n">
        <v>1</v>
      </c>
      <c r="B8" s="29" t="s">
        <v>266</v>
      </c>
      <c r="C8" s="29" t="s">
        <v>272</v>
      </c>
      <c r="D8" s="33" t="n">
        <v>3</v>
      </c>
      <c r="E8" s="33" t="n">
        <v>2</v>
      </c>
      <c r="F8" s="20"/>
      <c r="G8" s="20"/>
      <c r="H8" s="21"/>
    </row>
    <row r="9" customFormat="false" ht="15" hidden="false" customHeight="false" outlineLevel="0" collapsed="false">
      <c r="A9" s="33" t="n">
        <v>2</v>
      </c>
      <c r="B9" s="29" t="s">
        <v>273</v>
      </c>
      <c r="C9" s="29" t="s">
        <v>274</v>
      </c>
      <c r="D9" s="33" t="n">
        <v>3</v>
      </c>
      <c r="E9" s="33" t="n">
        <v>3</v>
      </c>
      <c r="F9" s="20"/>
      <c r="G9" s="20"/>
      <c r="H9" s="21"/>
    </row>
    <row r="10" customFormat="false" ht="15" hidden="false" customHeight="false" outlineLevel="0" collapsed="false">
      <c r="A10" s="33" t="n">
        <v>2</v>
      </c>
      <c r="B10" s="29" t="s">
        <v>273</v>
      </c>
      <c r="C10" s="29" t="s">
        <v>275</v>
      </c>
      <c r="D10" s="33" t="n">
        <v>4</v>
      </c>
      <c r="E10" s="33" t="n">
        <v>3</v>
      </c>
      <c r="F10" s="20"/>
      <c r="G10" s="20"/>
      <c r="H10" s="21"/>
    </row>
    <row r="11" customFormat="false" ht="15" hidden="false" customHeight="false" outlineLevel="0" collapsed="false">
      <c r="A11" s="33" t="n">
        <v>3</v>
      </c>
      <c r="B11" s="29" t="s">
        <v>92</v>
      </c>
      <c r="C11" s="29" t="s">
        <v>276</v>
      </c>
      <c r="D11" s="33" t="n">
        <v>14</v>
      </c>
      <c r="E11" s="33" t="n">
        <v>3</v>
      </c>
      <c r="F11" s="20"/>
      <c r="G11" s="20"/>
      <c r="H11" s="21"/>
    </row>
    <row r="12" customFormat="false" ht="15" hidden="false" customHeight="false" outlineLevel="0" collapsed="false">
      <c r="A12" s="33" t="n">
        <v>3</v>
      </c>
      <c r="B12" s="29" t="s">
        <v>92</v>
      </c>
      <c r="C12" s="29" t="s">
        <v>277</v>
      </c>
      <c r="D12" s="33" t="n">
        <v>14</v>
      </c>
      <c r="E12" s="33" t="n">
        <v>4</v>
      </c>
      <c r="F12" s="20"/>
      <c r="G12" s="20"/>
      <c r="H12" s="21"/>
    </row>
    <row r="13" customFormat="false" ht="15" hidden="false" customHeight="false" outlineLevel="0" collapsed="false">
      <c r="A13" s="33" t="n">
        <v>3</v>
      </c>
      <c r="B13" s="29" t="s">
        <v>92</v>
      </c>
      <c r="C13" s="29" t="s">
        <v>278</v>
      </c>
      <c r="D13" s="33" t="n">
        <v>12</v>
      </c>
      <c r="E13" s="33" t="n">
        <v>5</v>
      </c>
      <c r="F13" s="20"/>
      <c r="G13" s="20"/>
      <c r="H13" s="21"/>
    </row>
    <row r="14" customFormat="false" ht="15" hidden="false" customHeight="false" outlineLevel="0" collapsed="false">
      <c r="A14" s="37" t="s">
        <v>279</v>
      </c>
      <c r="B14" s="38" t="s">
        <v>280</v>
      </c>
      <c r="C14" s="38" t="s">
        <v>281</v>
      </c>
      <c r="D14" s="37" t="n">
        <v>5</v>
      </c>
      <c r="E14" s="37" t="n">
        <v>5</v>
      </c>
      <c r="F14" s="39"/>
      <c r="G14" s="39"/>
      <c r="H14" s="40"/>
    </row>
    <row r="15" customFormat="false" ht="15" hidden="false" customHeight="false" outlineLevel="0" collapsed="false">
      <c r="A15" s="33" t="n">
        <v>4</v>
      </c>
      <c r="B15" s="29" t="s">
        <v>119</v>
      </c>
      <c r="C15" s="29" t="s">
        <v>282</v>
      </c>
      <c r="D15" s="33" t="n">
        <v>13</v>
      </c>
      <c r="E15" s="33" t="n">
        <v>6</v>
      </c>
      <c r="F15" s="20"/>
      <c r="G15" s="20"/>
      <c r="H15" s="21"/>
    </row>
    <row r="16" customFormat="false" ht="15" hidden="false" customHeight="false" outlineLevel="0" collapsed="false">
      <c r="A16" s="33" t="n">
        <v>4</v>
      </c>
      <c r="B16" s="29" t="s">
        <v>119</v>
      </c>
      <c r="C16" s="29" t="s">
        <v>283</v>
      </c>
      <c r="D16" s="33" t="n">
        <v>11</v>
      </c>
      <c r="E16" s="33" t="n">
        <v>7</v>
      </c>
      <c r="F16" s="20"/>
      <c r="G16" s="20"/>
      <c r="H16" s="21"/>
    </row>
    <row r="17" customFormat="false" ht="15" hidden="false" customHeight="false" outlineLevel="0" collapsed="false">
      <c r="A17" s="33" t="n">
        <v>4</v>
      </c>
      <c r="B17" s="29" t="s">
        <v>119</v>
      </c>
      <c r="C17" s="29" t="s">
        <v>284</v>
      </c>
      <c r="D17" s="33" t="n">
        <v>4</v>
      </c>
      <c r="E17" s="33" t="n">
        <v>7</v>
      </c>
      <c r="F17" s="20"/>
      <c r="G17" s="20"/>
      <c r="H17" s="21"/>
    </row>
    <row r="18" customFormat="false" ht="15" hidden="false" customHeight="false" outlineLevel="0" collapsed="false">
      <c r="A18" s="33" t="n">
        <v>5</v>
      </c>
      <c r="B18" s="29" t="s">
        <v>121</v>
      </c>
      <c r="C18" s="29" t="s">
        <v>285</v>
      </c>
      <c r="D18" s="33" t="n">
        <v>7</v>
      </c>
      <c r="E18" s="33" t="n">
        <v>8</v>
      </c>
      <c r="F18" s="20"/>
      <c r="G18" s="20"/>
      <c r="H18" s="21"/>
    </row>
    <row r="19" customFormat="false" ht="15" hidden="false" customHeight="false" outlineLevel="0" collapsed="false">
      <c r="A19" s="33" t="n">
        <v>5</v>
      </c>
      <c r="B19" s="29" t="s">
        <v>121</v>
      </c>
      <c r="C19" s="29" t="s">
        <v>286</v>
      </c>
      <c r="D19" s="33" t="n">
        <v>8</v>
      </c>
      <c r="E19" s="33" t="n">
        <v>8</v>
      </c>
      <c r="F19" s="20"/>
      <c r="G19" s="20"/>
      <c r="H19" s="21"/>
    </row>
    <row r="20" customFormat="false" ht="15" hidden="false" customHeight="false" outlineLevel="0" collapsed="false">
      <c r="A20" s="33" t="n">
        <v>6</v>
      </c>
      <c r="B20" s="29" t="s">
        <v>122</v>
      </c>
      <c r="C20" s="29" t="s">
        <v>287</v>
      </c>
      <c r="D20" s="33" t="n">
        <v>5</v>
      </c>
      <c r="E20" s="33" t="n">
        <v>9</v>
      </c>
      <c r="F20" s="20"/>
      <c r="G20" s="20"/>
      <c r="H20" s="21"/>
    </row>
    <row r="21" customFormat="false" ht="15" hidden="false" customHeight="false" outlineLevel="0" collapsed="false">
      <c r="A21" s="33" t="n">
        <v>6</v>
      </c>
      <c r="B21" s="29" t="s">
        <v>122</v>
      </c>
      <c r="C21" s="29" t="s">
        <v>288</v>
      </c>
      <c r="D21" s="33" t="n">
        <v>4</v>
      </c>
      <c r="E21" s="33" t="n">
        <v>9</v>
      </c>
      <c r="F21" s="20"/>
      <c r="G21" s="20"/>
      <c r="H21" s="21"/>
    </row>
    <row r="22" customFormat="false" ht="15" hidden="false" customHeight="false" outlineLevel="0" collapsed="false">
      <c r="A22" s="33" t="n">
        <v>6</v>
      </c>
      <c r="B22" s="29" t="s">
        <v>122</v>
      </c>
      <c r="C22" s="29" t="s">
        <v>289</v>
      </c>
      <c r="D22" s="33" t="n">
        <v>15</v>
      </c>
      <c r="E22" s="33" t="n">
        <v>10</v>
      </c>
      <c r="F22" s="20"/>
      <c r="G22" s="20"/>
      <c r="H22" s="21"/>
    </row>
    <row r="23" customFormat="false" ht="15" hidden="false" customHeight="false" outlineLevel="0" collapsed="false">
      <c r="A23" s="33" t="n">
        <v>6</v>
      </c>
      <c r="B23" s="29" t="s">
        <v>122</v>
      </c>
      <c r="C23" s="29" t="s">
        <v>290</v>
      </c>
      <c r="D23" s="33" t="n">
        <v>7</v>
      </c>
      <c r="E23" s="33" t="n">
        <v>10</v>
      </c>
      <c r="F23" s="20"/>
      <c r="G23" s="20"/>
      <c r="H23" s="21"/>
    </row>
    <row r="24" customFormat="false" ht="15" hidden="false" customHeight="false" outlineLevel="0" collapsed="false">
      <c r="A24" s="33" t="n">
        <v>7</v>
      </c>
      <c r="B24" s="29" t="s">
        <v>124</v>
      </c>
      <c r="C24" s="29" t="s">
        <v>291</v>
      </c>
      <c r="D24" s="33" t="n">
        <v>5</v>
      </c>
      <c r="E24" s="33" t="n">
        <v>11</v>
      </c>
      <c r="F24" s="20"/>
      <c r="G24" s="20"/>
      <c r="H24" s="21"/>
    </row>
    <row r="25" customFormat="false" ht="15" hidden="false" customHeight="false" outlineLevel="0" collapsed="false">
      <c r="A25" s="33" t="n">
        <v>7</v>
      </c>
      <c r="B25" s="29" t="s">
        <v>124</v>
      </c>
      <c r="C25" s="29" t="s">
        <v>292</v>
      </c>
      <c r="D25" s="33" t="n">
        <v>12</v>
      </c>
      <c r="E25" s="33" t="n">
        <v>11</v>
      </c>
      <c r="F25" s="20"/>
      <c r="G25" s="20"/>
      <c r="H25" s="21"/>
    </row>
    <row r="26" customFormat="false" ht="15" hidden="false" customHeight="false" outlineLevel="0" collapsed="false">
      <c r="A26" s="33" t="n">
        <v>7</v>
      </c>
      <c r="B26" s="29" t="s">
        <v>124</v>
      </c>
      <c r="C26" s="29" t="s">
        <v>293</v>
      </c>
      <c r="D26" s="33" t="n">
        <v>8</v>
      </c>
      <c r="E26" s="33" t="n">
        <v>12</v>
      </c>
      <c r="F26" s="20"/>
      <c r="G26" s="20"/>
      <c r="H26" s="21"/>
    </row>
    <row r="27" customFormat="false" ht="15" hidden="false" customHeight="false" outlineLevel="0" collapsed="false">
      <c r="A27" s="33" t="n">
        <v>8</v>
      </c>
      <c r="B27" s="29" t="s">
        <v>126</v>
      </c>
      <c r="C27" s="29" t="s">
        <v>294</v>
      </c>
      <c r="D27" s="33" t="n">
        <v>8</v>
      </c>
      <c r="E27" s="33" t="n">
        <v>13</v>
      </c>
      <c r="F27" s="20"/>
      <c r="G27" s="20"/>
      <c r="H27" s="21"/>
    </row>
    <row r="28" customFormat="false" ht="15" hidden="false" customHeight="false" outlineLevel="0" collapsed="false">
      <c r="A28" s="33" t="n">
        <v>8</v>
      </c>
      <c r="B28" s="29" t="s">
        <v>126</v>
      </c>
      <c r="C28" s="29" t="s">
        <v>295</v>
      </c>
      <c r="D28" s="33" t="n">
        <v>6</v>
      </c>
      <c r="E28" s="33" t="n">
        <v>13</v>
      </c>
      <c r="F28" s="20"/>
      <c r="G28" s="20"/>
      <c r="H28" s="21"/>
    </row>
    <row r="29" customFormat="false" ht="15" hidden="false" customHeight="false" outlineLevel="0" collapsed="false">
      <c r="A29" s="33" t="n">
        <v>8</v>
      </c>
      <c r="B29" s="29" t="s">
        <v>126</v>
      </c>
      <c r="C29" s="29" t="s">
        <v>296</v>
      </c>
      <c r="D29" s="33" t="n">
        <v>4</v>
      </c>
      <c r="E29" s="33" t="n">
        <v>13</v>
      </c>
      <c r="F29" s="20"/>
      <c r="G29" s="20"/>
      <c r="H29" s="21"/>
    </row>
    <row r="30" customFormat="false" ht="15" hidden="false" customHeight="false" outlineLevel="0" collapsed="false">
      <c r="A30" s="37" t="s">
        <v>279</v>
      </c>
      <c r="B30" s="38" t="s">
        <v>280</v>
      </c>
      <c r="C30" s="38" t="s">
        <v>297</v>
      </c>
      <c r="D30" s="37" t="n">
        <v>3</v>
      </c>
      <c r="E30" s="37" t="n">
        <v>13</v>
      </c>
      <c r="F30" s="39"/>
      <c r="G30" s="39"/>
      <c r="H30" s="40"/>
    </row>
    <row r="31" customFormat="false" ht="15" hidden="false" customHeight="false" outlineLevel="0" collapsed="false">
      <c r="A31" s="33" t="n">
        <v>9</v>
      </c>
      <c r="B31" s="29" t="s">
        <v>128</v>
      </c>
      <c r="C31" s="29" t="s">
        <v>298</v>
      </c>
      <c r="D31" s="33" t="n">
        <v>9</v>
      </c>
      <c r="E31" s="33" t="n">
        <v>14</v>
      </c>
      <c r="F31" s="20"/>
      <c r="G31" s="20"/>
      <c r="H31" s="21"/>
    </row>
    <row r="32" customFormat="false" ht="15" hidden="false" customHeight="false" outlineLevel="0" collapsed="false">
      <c r="A32" s="33" t="n">
        <v>9</v>
      </c>
      <c r="B32" s="29" t="s">
        <v>128</v>
      </c>
      <c r="C32" s="29" t="s">
        <v>299</v>
      </c>
      <c r="D32" s="33" t="n">
        <v>6</v>
      </c>
      <c r="E32" s="33" t="n">
        <v>14</v>
      </c>
      <c r="F32" s="20"/>
      <c r="G32" s="20"/>
      <c r="H32" s="21"/>
    </row>
    <row r="33" customFormat="false" ht="15" hidden="false" customHeight="false" outlineLevel="0" collapsed="false">
      <c r="A33" s="33" t="n">
        <v>9</v>
      </c>
      <c r="B33" s="29" t="s">
        <v>128</v>
      </c>
      <c r="C33" s="29" t="s">
        <v>300</v>
      </c>
      <c r="D33" s="33" t="n">
        <v>11</v>
      </c>
      <c r="E33" s="33" t="n">
        <v>15</v>
      </c>
      <c r="F33" s="20"/>
      <c r="G33" s="20"/>
      <c r="H33" s="21"/>
    </row>
    <row r="34" customFormat="false" ht="15" hidden="false" customHeight="false" outlineLevel="0" collapsed="false">
      <c r="A34" s="33" t="n">
        <v>9</v>
      </c>
      <c r="B34" s="29" t="s">
        <v>128</v>
      </c>
      <c r="C34" s="29" t="s">
        <v>301</v>
      </c>
      <c r="D34" s="33" t="n">
        <v>5</v>
      </c>
      <c r="E34" s="33" t="n">
        <v>15</v>
      </c>
      <c r="F34" s="20"/>
      <c r="G34" s="20"/>
      <c r="H34" s="21"/>
    </row>
    <row r="35" customFormat="false" ht="15" hidden="false" customHeight="false" outlineLevel="0" collapsed="false">
      <c r="A35" s="33" t="n">
        <v>10</v>
      </c>
      <c r="B35" s="29" t="s">
        <v>130</v>
      </c>
      <c r="C35" s="29" t="s">
        <v>302</v>
      </c>
      <c r="D35" s="33" t="n">
        <v>8</v>
      </c>
      <c r="E35" s="33" t="n">
        <v>16</v>
      </c>
      <c r="F35" s="20"/>
      <c r="G35" s="20"/>
      <c r="H35" s="21"/>
    </row>
    <row r="36" customFormat="false" ht="15" hidden="false" customHeight="false" outlineLevel="0" collapsed="false">
      <c r="A36" s="33" t="n">
        <v>10</v>
      </c>
      <c r="B36" s="29" t="s">
        <v>130</v>
      </c>
      <c r="C36" s="29" t="s">
        <v>303</v>
      </c>
      <c r="D36" s="33" t="n">
        <v>4</v>
      </c>
      <c r="E36" s="33" t="n">
        <v>16</v>
      </c>
      <c r="F36" s="20"/>
      <c r="G36" s="20"/>
      <c r="H36" s="21"/>
    </row>
    <row r="37" customFormat="false" ht="15" hidden="false" customHeight="false" outlineLevel="0" collapsed="false">
      <c r="A37" s="33" t="n">
        <v>11</v>
      </c>
      <c r="B37" s="29" t="s">
        <v>131</v>
      </c>
      <c r="C37" s="29" t="s">
        <v>304</v>
      </c>
      <c r="D37" s="33" t="n">
        <v>2</v>
      </c>
      <c r="E37" s="33" t="n">
        <v>17</v>
      </c>
      <c r="F37" s="20"/>
      <c r="G37" s="20"/>
      <c r="H37" s="21"/>
    </row>
    <row r="38" customFormat="false" ht="15" hidden="false" customHeight="false" outlineLevel="0" collapsed="false">
      <c r="A38" s="33" t="n">
        <v>11</v>
      </c>
      <c r="B38" s="29" t="s">
        <v>131</v>
      </c>
      <c r="C38" s="29" t="s">
        <v>305</v>
      </c>
      <c r="D38" s="33" t="n">
        <v>7</v>
      </c>
      <c r="E38" s="33" t="n">
        <v>17</v>
      </c>
      <c r="F38" s="20"/>
      <c r="G38" s="20"/>
      <c r="H38" s="21"/>
    </row>
    <row r="39" customFormat="false" ht="15" hidden="false" customHeight="false" outlineLevel="0" collapsed="false">
      <c r="A39" s="33" t="n">
        <v>11</v>
      </c>
      <c r="B39" s="29" t="s">
        <v>131</v>
      </c>
      <c r="C39" s="29" t="s">
        <v>306</v>
      </c>
      <c r="D39" s="33" t="n">
        <v>5</v>
      </c>
      <c r="E39" s="33" t="n">
        <v>17</v>
      </c>
      <c r="F39" s="20"/>
      <c r="G39" s="20"/>
      <c r="H39" s="21"/>
    </row>
    <row r="40" customFormat="false" ht="15" hidden="false" customHeight="false" outlineLevel="0" collapsed="false">
      <c r="A40" s="33" t="n">
        <v>12</v>
      </c>
      <c r="B40" s="29" t="s">
        <v>132</v>
      </c>
      <c r="C40" s="29" t="s">
        <v>307</v>
      </c>
      <c r="D40" s="33" t="n">
        <v>5</v>
      </c>
      <c r="E40" s="33" t="n">
        <v>18</v>
      </c>
      <c r="F40" s="20"/>
      <c r="G40" s="20"/>
      <c r="H40" s="21"/>
    </row>
    <row r="41" customFormat="false" ht="15" hidden="false" customHeight="false" outlineLevel="0" collapsed="false">
      <c r="A41" s="33" t="n">
        <v>12</v>
      </c>
      <c r="B41" s="29" t="s">
        <v>132</v>
      </c>
      <c r="C41" s="29" t="s">
        <v>308</v>
      </c>
      <c r="D41" s="33" t="n">
        <v>11</v>
      </c>
      <c r="E41" s="33" t="n">
        <v>18</v>
      </c>
      <c r="F41" s="20"/>
      <c r="G41" s="20"/>
      <c r="H41" s="21"/>
    </row>
    <row r="42" customFormat="false" ht="15" hidden="false" customHeight="false" outlineLevel="0" collapsed="false">
      <c r="A42" s="33" t="n">
        <v>13</v>
      </c>
      <c r="B42" s="29" t="s">
        <v>134</v>
      </c>
      <c r="C42" s="29" t="s">
        <v>309</v>
      </c>
      <c r="D42" s="33" t="n">
        <v>13</v>
      </c>
      <c r="E42" s="33" t="n">
        <v>19</v>
      </c>
      <c r="F42" s="20"/>
      <c r="G42" s="20"/>
      <c r="H42" s="21"/>
    </row>
    <row r="43" customFormat="false" ht="15" hidden="false" customHeight="false" outlineLevel="0" collapsed="false">
      <c r="A43" s="33" t="n">
        <v>13</v>
      </c>
      <c r="B43" s="29" t="s">
        <v>134</v>
      </c>
      <c r="C43" s="29" t="s">
        <v>310</v>
      </c>
      <c r="D43" s="33" t="n">
        <v>12</v>
      </c>
      <c r="E43" s="33" t="n">
        <v>19</v>
      </c>
      <c r="F43" s="20"/>
      <c r="G43" s="20"/>
      <c r="H43" s="21"/>
    </row>
    <row r="44" customFormat="false" ht="15" hidden="false" customHeight="false" outlineLevel="0" collapsed="false">
      <c r="A44" s="33" t="n">
        <v>13</v>
      </c>
      <c r="B44" s="29" t="s">
        <v>134</v>
      </c>
      <c r="C44" s="29" t="s">
        <v>311</v>
      </c>
      <c r="D44" s="33" t="n">
        <v>14</v>
      </c>
      <c r="E44" s="33" t="n">
        <v>20</v>
      </c>
      <c r="F44" s="20"/>
      <c r="G44" s="20"/>
      <c r="H44" s="21"/>
    </row>
    <row r="45" customFormat="false" ht="15" hidden="false" customHeight="false" outlineLevel="0" collapsed="false">
      <c r="A45" s="33" t="n">
        <v>14</v>
      </c>
      <c r="B45" s="29" t="s">
        <v>136</v>
      </c>
      <c r="C45" s="29" t="s">
        <v>312</v>
      </c>
      <c r="D45" s="33" t="n">
        <v>2</v>
      </c>
      <c r="E45" s="33" t="n">
        <v>21</v>
      </c>
      <c r="F45" s="20"/>
      <c r="G45" s="20"/>
      <c r="H45" s="21"/>
    </row>
    <row r="46" customFormat="false" ht="15" hidden="false" customHeight="false" outlineLevel="0" collapsed="false">
      <c r="A46" s="33" t="n">
        <v>14</v>
      </c>
      <c r="B46" s="29" t="s">
        <v>136</v>
      </c>
      <c r="C46" s="29" t="s">
        <v>313</v>
      </c>
      <c r="D46" s="33" t="n">
        <v>6</v>
      </c>
      <c r="E46" s="33" t="n">
        <v>21</v>
      </c>
      <c r="F46" s="20"/>
      <c r="G46" s="20"/>
      <c r="H46" s="21"/>
    </row>
    <row r="47" customFormat="false" ht="15" hidden="false" customHeight="false" outlineLevel="0" collapsed="false">
      <c r="A47" s="33" t="n">
        <v>14</v>
      </c>
      <c r="B47" s="29" t="s">
        <v>136</v>
      </c>
      <c r="C47" s="29" t="s">
        <v>314</v>
      </c>
      <c r="D47" s="33" t="n">
        <v>8</v>
      </c>
      <c r="E47" s="33" t="n">
        <v>21</v>
      </c>
      <c r="F47" s="20"/>
      <c r="G47" s="20"/>
      <c r="H47" s="21"/>
    </row>
    <row r="48" customFormat="false" ht="15" hidden="false" customHeight="false" outlineLevel="0" collapsed="false">
      <c r="A48" s="33" t="n">
        <v>15</v>
      </c>
      <c r="B48" s="29" t="s">
        <v>137</v>
      </c>
      <c r="C48" s="29" t="s">
        <v>315</v>
      </c>
      <c r="D48" s="33" t="n">
        <v>5</v>
      </c>
      <c r="E48" s="33" t="n">
        <v>22</v>
      </c>
      <c r="F48" s="20"/>
      <c r="G48" s="20"/>
      <c r="H48" s="21"/>
    </row>
    <row r="49" customFormat="false" ht="15" hidden="false" customHeight="false" outlineLevel="0" collapsed="false">
      <c r="A49" s="33" t="n">
        <v>15</v>
      </c>
      <c r="B49" s="29" t="s">
        <v>137</v>
      </c>
      <c r="C49" s="29" t="s">
        <v>316</v>
      </c>
      <c r="D49" s="33" t="n">
        <v>13</v>
      </c>
      <c r="E49" s="33" t="n">
        <v>22</v>
      </c>
      <c r="F49" s="20"/>
      <c r="G49" s="20"/>
      <c r="H49" s="21"/>
    </row>
    <row r="50" customFormat="false" ht="15" hidden="false" customHeight="false" outlineLevel="0" collapsed="false">
      <c r="A50" s="33" t="n">
        <v>15</v>
      </c>
      <c r="B50" s="29" t="s">
        <v>137</v>
      </c>
      <c r="C50" s="29" t="s">
        <v>317</v>
      </c>
      <c r="D50" s="33" t="n">
        <v>7</v>
      </c>
      <c r="E50" s="33" t="n">
        <v>23</v>
      </c>
      <c r="F50" s="20"/>
      <c r="G50" s="20"/>
      <c r="H50" s="21"/>
    </row>
    <row r="51" customFormat="false" ht="15" hidden="false" customHeight="false" outlineLevel="0" collapsed="false">
      <c r="A51" s="33" t="n">
        <v>15</v>
      </c>
      <c r="B51" s="29" t="s">
        <v>137</v>
      </c>
      <c r="C51" s="29" t="s">
        <v>318</v>
      </c>
      <c r="D51" s="33" t="n">
        <v>13</v>
      </c>
      <c r="E51" s="33" t="n">
        <v>23</v>
      </c>
      <c r="F51" s="20"/>
      <c r="G51" s="20"/>
      <c r="H51" s="21"/>
    </row>
    <row r="52" customFormat="false" ht="15" hidden="false" customHeight="false" outlineLevel="0" collapsed="false">
      <c r="A52" s="33" t="n">
        <v>15</v>
      </c>
      <c r="B52" s="29" t="s">
        <v>137</v>
      </c>
      <c r="C52" s="29" t="s">
        <v>319</v>
      </c>
      <c r="D52" s="33" t="n">
        <v>9</v>
      </c>
      <c r="E52" s="33" t="n">
        <v>24</v>
      </c>
      <c r="F52" s="20"/>
      <c r="G52" s="20"/>
      <c r="H52" s="21"/>
    </row>
    <row r="53" customFormat="false" ht="15" hidden="false" customHeight="false" outlineLevel="0" collapsed="false">
      <c r="A53" s="33" t="n">
        <v>15</v>
      </c>
      <c r="B53" s="29" t="s">
        <v>137</v>
      </c>
      <c r="C53" s="29" t="s">
        <v>320</v>
      </c>
      <c r="D53" s="33" t="n">
        <v>7</v>
      </c>
      <c r="E53" s="33" t="n">
        <v>24</v>
      </c>
      <c r="F53" s="20"/>
      <c r="G53" s="20"/>
      <c r="H53" s="21"/>
    </row>
    <row r="54" customFormat="false" ht="15" hidden="false" customHeight="false" outlineLevel="0" collapsed="false">
      <c r="A54" s="33" t="n">
        <v>16</v>
      </c>
      <c r="B54" s="29" t="s">
        <v>321</v>
      </c>
      <c r="C54" s="29" t="s">
        <v>322</v>
      </c>
      <c r="D54" s="33" t="n">
        <v>1</v>
      </c>
      <c r="E54" s="33" t="n">
        <v>25</v>
      </c>
      <c r="F54" s="20"/>
      <c r="G54" s="20"/>
      <c r="H54" s="21"/>
    </row>
    <row r="55" customFormat="false" ht="15" hidden="false" customHeight="false" outlineLevel="0" collapsed="false">
      <c r="A55" s="33" t="n">
        <v>16</v>
      </c>
      <c r="B55" s="29" t="s">
        <v>321</v>
      </c>
      <c r="C55" s="29" t="s">
        <v>323</v>
      </c>
      <c r="D55" s="33" t="n">
        <v>5</v>
      </c>
      <c r="E55" s="33" t="n">
        <v>25</v>
      </c>
      <c r="F55" s="20"/>
      <c r="G55" s="20"/>
      <c r="H55" s="21"/>
    </row>
    <row r="56" customFormat="false" ht="15" hidden="false" customHeight="false" outlineLevel="0" collapsed="false">
      <c r="A56" s="33" t="n">
        <v>16</v>
      </c>
      <c r="B56" s="29" t="s">
        <v>321</v>
      </c>
      <c r="C56" s="29" t="s">
        <v>324</v>
      </c>
      <c r="D56" s="33" t="n">
        <v>7</v>
      </c>
      <c r="E56" s="33" t="n">
        <v>25</v>
      </c>
      <c r="F56" s="20"/>
      <c r="G56" s="20"/>
      <c r="H56" s="21"/>
    </row>
    <row r="57" customFormat="false" ht="15" hidden="false" customHeight="false" outlineLevel="0" collapsed="false">
      <c r="A57" s="33" t="n">
        <v>16</v>
      </c>
      <c r="B57" s="29" t="s">
        <v>321</v>
      </c>
      <c r="C57" s="29" t="s">
        <v>325</v>
      </c>
      <c r="D57" s="33" t="n">
        <v>10</v>
      </c>
      <c r="E57" s="33" t="n">
        <v>26</v>
      </c>
      <c r="F57" s="20"/>
      <c r="G57" s="20"/>
      <c r="H57" s="21"/>
    </row>
    <row r="58" customFormat="false" ht="15" hidden="false" customHeight="false" outlineLevel="0" collapsed="false">
      <c r="A58" s="33" t="n">
        <v>16</v>
      </c>
      <c r="B58" s="29" t="s">
        <v>321</v>
      </c>
      <c r="C58" s="29" t="s">
        <v>326</v>
      </c>
      <c r="D58" s="33" t="n">
        <v>10</v>
      </c>
      <c r="E58" s="33" t="n">
        <v>26</v>
      </c>
      <c r="F58" s="20"/>
      <c r="G58" s="20"/>
      <c r="H58" s="21"/>
    </row>
    <row r="59" customFormat="false" ht="15" hidden="false" customHeight="false" outlineLevel="0" collapsed="false">
      <c r="A59" s="33" t="n">
        <v>16</v>
      </c>
      <c r="B59" s="29" t="s">
        <v>321</v>
      </c>
      <c r="C59" s="29" t="s">
        <v>327</v>
      </c>
      <c r="D59" s="33" t="n">
        <v>6</v>
      </c>
      <c r="E59" s="33" t="n">
        <v>27</v>
      </c>
      <c r="F59" s="20"/>
      <c r="G59" s="20"/>
      <c r="H59" s="21"/>
    </row>
    <row r="60" customFormat="false" ht="15" hidden="false" customHeight="false" outlineLevel="0" collapsed="false">
      <c r="A60" s="33" t="n">
        <v>16</v>
      </c>
      <c r="B60" s="29" t="s">
        <v>321</v>
      </c>
      <c r="C60" s="29" t="s">
        <v>328</v>
      </c>
      <c r="D60" s="33" t="n">
        <v>7</v>
      </c>
      <c r="E60" s="33" t="n">
        <v>27</v>
      </c>
      <c r="F60" s="20"/>
      <c r="G60" s="20"/>
      <c r="H60" s="21"/>
    </row>
    <row r="61" customFormat="false" ht="15" hidden="false" customHeight="false" outlineLevel="0" collapsed="false">
      <c r="A61" s="33" t="n">
        <v>16</v>
      </c>
      <c r="B61" s="29" t="s">
        <v>321</v>
      </c>
      <c r="C61" s="29" t="s">
        <v>329</v>
      </c>
      <c r="D61" s="33" t="n">
        <v>8</v>
      </c>
      <c r="E61" s="33" t="n">
        <v>28</v>
      </c>
      <c r="F61" s="20"/>
      <c r="G61" s="20"/>
      <c r="H61" s="21"/>
    </row>
    <row r="62" customFormat="false" ht="15" hidden="false" customHeight="false" outlineLevel="0" collapsed="false">
      <c r="A62" s="33" t="n">
        <v>16</v>
      </c>
      <c r="B62" s="29" t="s">
        <v>321</v>
      </c>
      <c r="C62" s="29" t="s">
        <v>330</v>
      </c>
      <c r="D62" s="33" t="n">
        <v>3</v>
      </c>
      <c r="E62" s="33" t="n">
        <v>28</v>
      </c>
      <c r="F62" s="20"/>
      <c r="G62" s="20"/>
      <c r="H62" s="21"/>
    </row>
    <row r="63" customFormat="false" ht="15" hidden="false" customHeight="false" outlineLevel="0" collapsed="false">
      <c r="A63" s="33" t="n">
        <v>17</v>
      </c>
      <c r="B63" s="29" t="s">
        <v>141</v>
      </c>
      <c r="C63" s="29" t="s">
        <v>331</v>
      </c>
      <c r="D63" s="33" t="n">
        <v>1</v>
      </c>
      <c r="E63" s="33" t="n">
        <v>29</v>
      </c>
      <c r="F63" s="20"/>
      <c r="G63" s="20"/>
      <c r="H63" s="21"/>
    </row>
    <row r="64" customFormat="false" ht="15" hidden="false" customHeight="false" outlineLevel="0" collapsed="false">
      <c r="A64" s="33" t="n">
        <v>17</v>
      </c>
      <c r="B64" s="29" t="s">
        <v>141</v>
      </c>
      <c r="C64" s="29" t="s">
        <v>332</v>
      </c>
      <c r="D64" s="33" t="n">
        <v>6</v>
      </c>
      <c r="E64" s="33" t="n">
        <v>29</v>
      </c>
      <c r="F64" s="20"/>
      <c r="G64" s="20"/>
      <c r="H64" s="21"/>
    </row>
    <row r="65" customFormat="false" ht="15" hidden="false" customHeight="false" outlineLevel="0" collapsed="false">
      <c r="A65" s="33" t="n">
        <v>18</v>
      </c>
      <c r="B65" s="29" t="s">
        <v>333</v>
      </c>
      <c r="C65" s="29" t="s">
        <v>334</v>
      </c>
      <c r="D65" s="33" t="n">
        <v>9</v>
      </c>
      <c r="E65" s="33" t="n">
        <v>29</v>
      </c>
      <c r="F65" s="20"/>
      <c r="G65" s="20"/>
      <c r="H65" s="21"/>
    </row>
    <row r="66" customFormat="false" ht="15" hidden="false" customHeight="false" outlineLevel="0" collapsed="false">
      <c r="A66" s="37" t="s">
        <v>279</v>
      </c>
      <c r="B66" s="38" t="s">
        <v>280</v>
      </c>
      <c r="C66" s="38" t="s">
        <v>335</v>
      </c>
      <c r="D66" s="37" t="n">
        <v>5</v>
      </c>
      <c r="E66" s="37" t="n">
        <v>29</v>
      </c>
      <c r="F66" s="39"/>
      <c r="G66" s="39"/>
      <c r="H66" s="40"/>
    </row>
    <row r="67" customFormat="false" ht="15" hidden="false" customHeight="false" outlineLevel="0" collapsed="false">
      <c r="A67" s="37" t="s">
        <v>279</v>
      </c>
      <c r="B67" s="38" t="s">
        <v>280</v>
      </c>
      <c r="C67" s="38" t="s">
        <v>336</v>
      </c>
      <c r="D67" s="37" t="n">
        <v>0</v>
      </c>
      <c r="E67" s="37" t="n">
        <v>21</v>
      </c>
      <c r="F67" s="39"/>
      <c r="G67" s="39"/>
      <c r="H67" s="40"/>
    </row>
    <row r="68" customFormat="false" ht="15" hidden="false" customHeight="false" outlineLevel="0" collapsed="false">
      <c r="A68" s="37" t="s">
        <v>279</v>
      </c>
      <c r="B68" s="38" t="s">
        <v>280</v>
      </c>
      <c r="C68" s="38" t="s">
        <v>337</v>
      </c>
      <c r="D68" s="37" t="n">
        <v>0</v>
      </c>
      <c r="E68" s="37" t="n">
        <v>14</v>
      </c>
      <c r="F68" s="39"/>
      <c r="G68" s="39"/>
      <c r="H68" s="40"/>
    </row>
    <row r="69" customFormat="false" ht="15" hidden="false" customHeight="false" outlineLevel="0" collapsed="false">
      <c r="C69" s="24" t="s">
        <v>338</v>
      </c>
      <c r="D69" s="36" t="n">
        <f aca="false">SUM($D$3:$D$68)</f>
        <v>462</v>
      </c>
      <c r="G69" s="36" t="str">
        <f aca="false">COUNTIF($G$3:$G$68,"Y")&amp;" / 66"</f>
        <v>0 / 66</v>
      </c>
    </row>
  </sheetData>
  <mergeCells count="1">
    <mergeCell ref="A1:H1"/>
  </mergeCells>
  <conditionalFormatting sqref="G3:G68">
    <cfRule type="cellIs" priority="2" operator="equal" aboveAverage="0" equalAverage="0" bottom="0" percent="0" rank="0" text="" dxfId="8">
      <formula>"Y"</formula>
    </cfRule>
  </conditionalFormatting>
  <dataValidations count="2">
    <dataValidation allowBlank="true" errorStyle="stop" operator="between" showDropDown="false" showErrorMessage="false" showInputMessage="false" sqref="F3:F68" type="list">
      <formula1>"Y,N"</formula1>
      <formula2>0</formula2>
    </dataValidation>
    <dataValidation allowBlank="true" errorStyle="stop" operator="between" showDropDown="false" showErrorMessage="false" showInputMessage="false" sqref="G3:G6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4" min="3" style="0" width="12"/>
    <col collapsed="false" customWidth="true" hidden="false" outlineLevel="0" max="5" min="5" style="0" width="8"/>
    <col collapsed="false" customWidth="true" hidden="false" outlineLevel="0" max="6" min="6" style="0" width="13"/>
    <col collapsed="false" customWidth="true" hidden="false" outlineLevel="0" max="7" min="7" style="0" width="15"/>
    <col collapsed="false" customWidth="true" hidden="false" outlineLevel="0" max="8" min="8" style="0" width="10"/>
    <col collapsed="false" customWidth="true" hidden="false" outlineLevel="0" max="10" min="9" style="0" width="38"/>
  </cols>
  <sheetData>
    <row r="1" customFormat="false" ht="15" hidden="false" customHeight="false" outlineLevel="0" collapsed="false">
      <c r="A1" s="10" t="s">
        <v>339</v>
      </c>
      <c r="B1" s="10"/>
      <c r="C1" s="10"/>
      <c r="D1" s="10"/>
      <c r="E1" s="10"/>
      <c r="F1" s="10"/>
      <c r="G1" s="10"/>
      <c r="H1" s="10"/>
      <c r="I1" s="10"/>
      <c r="J1" s="10"/>
    </row>
    <row r="2" customFormat="false" ht="30" hidden="false" customHeight="true" outlineLevel="0" collapsed="false">
      <c r="A2" s="11" t="s">
        <v>340</v>
      </c>
      <c r="B2" s="11" t="s">
        <v>341</v>
      </c>
      <c r="C2" s="11" t="s">
        <v>342</v>
      </c>
      <c r="D2" s="11" t="s">
        <v>343</v>
      </c>
      <c r="E2" s="11" t="s">
        <v>344</v>
      </c>
      <c r="F2" s="11" t="s">
        <v>345</v>
      </c>
      <c r="G2" s="11" t="s">
        <v>346</v>
      </c>
      <c r="H2" s="11" t="s">
        <v>347</v>
      </c>
      <c r="I2" s="11" t="s">
        <v>348</v>
      </c>
      <c r="J2" s="11" t="s">
        <v>349</v>
      </c>
    </row>
    <row r="3" customFormat="false" ht="15" hidden="false" customHeight="false" outlineLevel="0" collapsed="false">
      <c r="A3" s="41" t="n">
        <v>46237</v>
      </c>
      <c r="B3" s="17" t="str">
        <f aca="false">IF($A3="","",TEXT($A3,"ddd"))</f>
        <v>Mon</v>
      </c>
      <c r="C3" s="14" t="n">
        <v>3</v>
      </c>
      <c r="D3" s="14" t="n">
        <v>3</v>
      </c>
      <c r="E3" s="17" t="n">
        <f aca="false">IF($A3="","",N($C3)+N($D3))</f>
        <v>6</v>
      </c>
      <c r="F3" s="14" t="n">
        <v>3</v>
      </c>
      <c r="G3" s="14" t="n">
        <v>0</v>
      </c>
      <c r="H3" s="14" t="n">
        <v>4</v>
      </c>
      <c r="I3" s="15" t="s">
        <v>350</v>
      </c>
      <c r="J3" s="15" t="s">
        <v>351</v>
      </c>
    </row>
    <row r="4" customFormat="false" ht="15" hidden="false" customHeight="false" outlineLevel="0" collapsed="false">
      <c r="A4" s="42"/>
      <c r="B4" s="23" t="str">
        <f aca="false">IF($A4="","",TEXT($A4,"ddd"))</f>
        <v/>
      </c>
      <c r="C4" s="20"/>
      <c r="D4" s="20"/>
      <c r="E4" s="23" t="str">
        <f aca="false">IF($A4="","",N($C4)+N($D4))</f>
        <v/>
      </c>
      <c r="F4" s="20"/>
      <c r="G4" s="20"/>
      <c r="H4" s="20"/>
      <c r="I4" s="21"/>
      <c r="J4" s="21"/>
    </row>
    <row r="5" customFormat="false" ht="15" hidden="false" customHeight="false" outlineLevel="0" collapsed="false">
      <c r="A5" s="42"/>
      <c r="B5" s="23" t="str">
        <f aca="false">IF($A5="","",TEXT($A5,"ddd"))</f>
        <v/>
      </c>
      <c r="C5" s="20"/>
      <c r="D5" s="20"/>
      <c r="E5" s="23" t="str">
        <f aca="false">IF($A5="","",N($C5)+N($D5))</f>
        <v/>
      </c>
      <c r="F5" s="20"/>
      <c r="G5" s="20"/>
      <c r="H5" s="20"/>
      <c r="I5" s="21"/>
      <c r="J5" s="21"/>
    </row>
    <row r="6" customFormat="false" ht="15" hidden="false" customHeight="false" outlineLevel="0" collapsed="false">
      <c r="A6" s="42"/>
      <c r="B6" s="23" t="str">
        <f aca="false">IF($A6="","",TEXT($A6,"ddd"))</f>
        <v/>
      </c>
      <c r="C6" s="20"/>
      <c r="D6" s="20"/>
      <c r="E6" s="23" t="str">
        <f aca="false">IF($A6="","",N($C6)+N($D6))</f>
        <v/>
      </c>
      <c r="F6" s="20"/>
      <c r="G6" s="20"/>
      <c r="H6" s="20"/>
      <c r="I6" s="21"/>
      <c r="J6" s="21"/>
    </row>
    <row r="7" customFormat="false" ht="15" hidden="false" customHeight="false" outlineLevel="0" collapsed="false">
      <c r="A7" s="42"/>
      <c r="B7" s="23" t="str">
        <f aca="false">IF($A7="","",TEXT($A7,"ddd"))</f>
        <v/>
      </c>
      <c r="C7" s="20"/>
      <c r="D7" s="20"/>
      <c r="E7" s="23" t="str">
        <f aca="false">IF($A7="","",N($C7)+N($D7))</f>
        <v/>
      </c>
      <c r="F7" s="20"/>
      <c r="G7" s="20"/>
      <c r="H7" s="20"/>
      <c r="I7" s="21"/>
      <c r="J7" s="21"/>
    </row>
    <row r="8" customFormat="false" ht="15" hidden="false" customHeight="false" outlineLevel="0" collapsed="false">
      <c r="A8" s="42"/>
      <c r="B8" s="23" t="str">
        <f aca="false">IF($A8="","",TEXT($A8,"ddd"))</f>
        <v/>
      </c>
      <c r="C8" s="20"/>
      <c r="D8" s="20"/>
      <c r="E8" s="23" t="str">
        <f aca="false">IF($A8="","",N($C8)+N($D8))</f>
        <v/>
      </c>
      <c r="F8" s="20"/>
      <c r="G8" s="20"/>
      <c r="H8" s="20"/>
      <c r="I8" s="21"/>
      <c r="J8" s="21"/>
    </row>
    <row r="9" customFormat="false" ht="15" hidden="false" customHeight="false" outlineLevel="0" collapsed="false">
      <c r="A9" s="42"/>
      <c r="B9" s="23" t="str">
        <f aca="false">IF($A9="","",TEXT($A9,"ddd"))</f>
        <v/>
      </c>
      <c r="C9" s="20"/>
      <c r="D9" s="20"/>
      <c r="E9" s="23" t="str">
        <f aca="false">IF($A9="","",N($C9)+N($D9))</f>
        <v/>
      </c>
      <c r="F9" s="20"/>
      <c r="G9" s="20"/>
      <c r="H9" s="20"/>
      <c r="I9" s="21"/>
      <c r="J9" s="21"/>
    </row>
    <row r="10" customFormat="false" ht="15" hidden="false" customHeight="false" outlineLevel="0" collapsed="false">
      <c r="A10" s="42"/>
      <c r="B10" s="23" t="str">
        <f aca="false">IF($A10="","",TEXT($A10,"ddd"))</f>
        <v/>
      </c>
      <c r="C10" s="20"/>
      <c r="D10" s="20"/>
      <c r="E10" s="23" t="str">
        <f aca="false">IF($A10="","",N($C10)+N($D10))</f>
        <v/>
      </c>
      <c r="F10" s="20"/>
      <c r="G10" s="20"/>
      <c r="H10" s="20"/>
      <c r="I10" s="21"/>
      <c r="J10" s="21"/>
    </row>
    <row r="11" customFormat="false" ht="15" hidden="false" customHeight="false" outlineLevel="0" collapsed="false">
      <c r="A11" s="42"/>
      <c r="B11" s="23" t="str">
        <f aca="false">IF($A11="","",TEXT($A11,"ddd"))</f>
        <v/>
      </c>
      <c r="C11" s="20"/>
      <c r="D11" s="20"/>
      <c r="E11" s="23" t="str">
        <f aca="false">IF($A11="","",N($C11)+N($D11))</f>
        <v/>
      </c>
      <c r="F11" s="20"/>
      <c r="G11" s="20"/>
      <c r="H11" s="20"/>
      <c r="I11" s="21"/>
      <c r="J11" s="21"/>
    </row>
    <row r="12" customFormat="false" ht="15" hidden="false" customHeight="false" outlineLevel="0" collapsed="false">
      <c r="A12" s="42"/>
      <c r="B12" s="23" t="str">
        <f aca="false">IF($A12="","",TEXT($A12,"ddd"))</f>
        <v/>
      </c>
      <c r="C12" s="20"/>
      <c r="D12" s="20"/>
      <c r="E12" s="23" t="str">
        <f aca="false">IF($A12="","",N($C12)+N($D12))</f>
        <v/>
      </c>
      <c r="F12" s="20"/>
      <c r="G12" s="20"/>
      <c r="H12" s="20"/>
      <c r="I12" s="21"/>
      <c r="J12" s="21"/>
    </row>
    <row r="13" customFormat="false" ht="15" hidden="false" customHeight="false" outlineLevel="0" collapsed="false">
      <c r="A13" s="42"/>
      <c r="B13" s="23" t="str">
        <f aca="false">IF($A13="","",TEXT($A13,"ddd"))</f>
        <v/>
      </c>
      <c r="C13" s="20"/>
      <c r="D13" s="20"/>
      <c r="E13" s="23" t="str">
        <f aca="false">IF($A13="","",N($C13)+N($D13))</f>
        <v/>
      </c>
      <c r="F13" s="20"/>
      <c r="G13" s="20"/>
      <c r="H13" s="20"/>
      <c r="I13" s="21"/>
      <c r="J13" s="21"/>
    </row>
    <row r="14" customFormat="false" ht="15" hidden="false" customHeight="false" outlineLevel="0" collapsed="false">
      <c r="A14" s="42"/>
      <c r="B14" s="23" t="str">
        <f aca="false">IF($A14="","",TEXT($A14,"ddd"))</f>
        <v/>
      </c>
      <c r="C14" s="20"/>
      <c r="D14" s="20"/>
      <c r="E14" s="23" t="str">
        <f aca="false">IF($A14="","",N($C14)+N($D14))</f>
        <v/>
      </c>
      <c r="F14" s="20"/>
      <c r="G14" s="20"/>
      <c r="H14" s="20"/>
      <c r="I14" s="21"/>
      <c r="J14" s="21"/>
    </row>
    <row r="15" customFormat="false" ht="15" hidden="false" customHeight="false" outlineLevel="0" collapsed="false">
      <c r="A15" s="42"/>
      <c r="B15" s="23" t="str">
        <f aca="false">IF($A15="","",TEXT($A15,"ddd"))</f>
        <v/>
      </c>
      <c r="C15" s="20"/>
      <c r="D15" s="20"/>
      <c r="E15" s="23" t="str">
        <f aca="false">IF($A15="","",N($C15)+N($D15))</f>
        <v/>
      </c>
      <c r="F15" s="20"/>
      <c r="G15" s="20"/>
      <c r="H15" s="20"/>
      <c r="I15" s="21"/>
      <c r="J15" s="21"/>
    </row>
    <row r="16" customFormat="false" ht="15" hidden="false" customHeight="false" outlineLevel="0" collapsed="false">
      <c r="A16" s="42"/>
      <c r="B16" s="23" t="str">
        <f aca="false">IF($A16="","",TEXT($A16,"ddd"))</f>
        <v/>
      </c>
      <c r="C16" s="20"/>
      <c r="D16" s="20"/>
      <c r="E16" s="23" t="str">
        <f aca="false">IF($A16="","",N($C16)+N($D16))</f>
        <v/>
      </c>
      <c r="F16" s="20"/>
      <c r="G16" s="20"/>
      <c r="H16" s="20"/>
      <c r="I16" s="21"/>
      <c r="J16" s="21"/>
    </row>
    <row r="17" customFormat="false" ht="15" hidden="false" customHeight="false" outlineLevel="0" collapsed="false">
      <c r="A17" s="42"/>
      <c r="B17" s="23" t="str">
        <f aca="false">IF($A17="","",TEXT($A17,"ddd"))</f>
        <v/>
      </c>
      <c r="C17" s="20"/>
      <c r="D17" s="20"/>
      <c r="E17" s="23" t="str">
        <f aca="false">IF($A17="","",N($C17)+N($D17))</f>
        <v/>
      </c>
      <c r="F17" s="20"/>
      <c r="G17" s="20"/>
      <c r="H17" s="20"/>
      <c r="I17" s="21"/>
      <c r="J17" s="21"/>
    </row>
    <row r="18" customFormat="false" ht="15" hidden="false" customHeight="false" outlineLevel="0" collapsed="false">
      <c r="A18" s="42"/>
      <c r="B18" s="23" t="str">
        <f aca="false">IF($A18="","",TEXT($A18,"ddd"))</f>
        <v/>
      </c>
      <c r="C18" s="20"/>
      <c r="D18" s="20"/>
      <c r="E18" s="23" t="str">
        <f aca="false">IF($A18="","",N($C18)+N($D18))</f>
        <v/>
      </c>
      <c r="F18" s="20"/>
      <c r="G18" s="20"/>
      <c r="H18" s="20"/>
      <c r="I18" s="21"/>
      <c r="J18" s="21"/>
    </row>
    <row r="19" customFormat="false" ht="15" hidden="false" customHeight="false" outlineLevel="0" collapsed="false">
      <c r="A19" s="42"/>
      <c r="B19" s="23" t="str">
        <f aca="false">IF($A19="","",TEXT($A19,"ddd"))</f>
        <v/>
      </c>
      <c r="C19" s="20"/>
      <c r="D19" s="20"/>
      <c r="E19" s="23" t="str">
        <f aca="false">IF($A19="","",N($C19)+N($D19))</f>
        <v/>
      </c>
      <c r="F19" s="20"/>
      <c r="G19" s="20"/>
      <c r="H19" s="20"/>
      <c r="I19" s="21"/>
      <c r="J19" s="21"/>
    </row>
    <row r="20" customFormat="false" ht="15" hidden="false" customHeight="false" outlineLevel="0" collapsed="false">
      <c r="A20" s="42"/>
      <c r="B20" s="23" t="str">
        <f aca="false">IF($A20="","",TEXT($A20,"ddd"))</f>
        <v/>
      </c>
      <c r="C20" s="20"/>
      <c r="D20" s="20"/>
      <c r="E20" s="23" t="str">
        <f aca="false">IF($A20="","",N($C20)+N($D20))</f>
        <v/>
      </c>
      <c r="F20" s="20"/>
      <c r="G20" s="20"/>
      <c r="H20" s="20"/>
      <c r="I20" s="21"/>
      <c r="J20" s="21"/>
    </row>
    <row r="21" customFormat="false" ht="15" hidden="false" customHeight="false" outlineLevel="0" collapsed="false">
      <c r="A21" s="42"/>
      <c r="B21" s="23" t="str">
        <f aca="false">IF($A21="","",TEXT($A21,"ddd"))</f>
        <v/>
      </c>
      <c r="C21" s="20"/>
      <c r="D21" s="20"/>
      <c r="E21" s="23" t="str">
        <f aca="false">IF($A21="","",N($C21)+N($D21))</f>
        <v/>
      </c>
      <c r="F21" s="20"/>
      <c r="G21" s="20"/>
      <c r="H21" s="20"/>
      <c r="I21" s="21"/>
      <c r="J21" s="21"/>
    </row>
    <row r="22" customFormat="false" ht="15" hidden="false" customHeight="false" outlineLevel="0" collapsed="false">
      <c r="A22" s="42"/>
      <c r="B22" s="23" t="str">
        <f aca="false">IF($A22="","",TEXT($A22,"ddd"))</f>
        <v/>
      </c>
      <c r="C22" s="20"/>
      <c r="D22" s="20"/>
      <c r="E22" s="23" t="str">
        <f aca="false">IF($A22="","",N($C22)+N($D22))</f>
        <v/>
      </c>
      <c r="F22" s="20"/>
      <c r="G22" s="20"/>
      <c r="H22" s="20"/>
      <c r="I22" s="21"/>
      <c r="J22" s="21"/>
    </row>
    <row r="23" customFormat="false" ht="15" hidden="false" customHeight="false" outlineLevel="0" collapsed="false">
      <c r="A23" s="42"/>
      <c r="B23" s="23" t="str">
        <f aca="false">IF($A23="","",TEXT($A23,"ddd"))</f>
        <v/>
      </c>
      <c r="C23" s="20"/>
      <c r="D23" s="20"/>
      <c r="E23" s="23" t="str">
        <f aca="false">IF($A23="","",N($C23)+N($D23))</f>
        <v/>
      </c>
      <c r="F23" s="20"/>
      <c r="G23" s="20"/>
      <c r="H23" s="20"/>
      <c r="I23" s="21"/>
      <c r="J23" s="21"/>
    </row>
    <row r="24" customFormat="false" ht="15" hidden="false" customHeight="false" outlineLevel="0" collapsed="false">
      <c r="A24" s="42"/>
      <c r="B24" s="23" t="str">
        <f aca="false">IF($A24="","",TEXT($A24,"ddd"))</f>
        <v/>
      </c>
      <c r="C24" s="20"/>
      <c r="D24" s="20"/>
      <c r="E24" s="23" t="str">
        <f aca="false">IF($A24="","",N($C24)+N($D24))</f>
        <v/>
      </c>
      <c r="F24" s="20"/>
      <c r="G24" s="20"/>
      <c r="H24" s="20"/>
      <c r="I24" s="21"/>
      <c r="J24" s="21"/>
    </row>
    <row r="25" customFormat="false" ht="15" hidden="false" customHeight="false" outlineLevel="0" collapsed="false">
      <c r="A25" s="42"/>
      <c r="B25" s="23" t="str">
        <f aca="false">IF($A25="","",TEXT($A25,"ddd"))</f>
        <v/>
      </c>
      <c r="C25" s="20"/>
      <c r="D25" s="20"/>
      <c r="E25" s="23" t="str">
        <f aca="false">IF($A25="","",N($C25)+N($D25))</f>
        <v/>
      </c>
      <c r="F25" s="20"/>
      <c r="G25" s="20"/>
      <c r="H25" s="20"/>
      <c r="I25" s="21"/>
      <c r="J25" s="21"/>
    </row>
    <row r="26" customFormat="false" ht="15" hidden="false" customHeight="false" outlineLevel="0" collapsed="false">
      <c r="A26" s="42"/>
      <c r="B26" s="23" t="str">
        <f aca="false">IF($A26="","",TEXT($A26,"ddd"))</f>
        <v/>
      </c>
      <c r="C26" s="20"/>
      <c r="D26" s="20"/>
      <c r="E26" s="23" t="str">
        <f aca="false">IF($A26="","",N($C26)+N($D26))</f>
        <v/>
      </c>
      <c r="F26" s="20"/>
      <c r="G26" s="20"/>
      <c r="H26" s="20"/>
      <c r="I26" s="21"/>
      <c r="J26" s="21"/>
    </row>
    <row r="27" customFormat="false" ht="15" hidden="false" customHeight="false" outlineLevel="0" collapsed="false">
      <c r="A27" s="42"/>
      <c r="B27" s="23" t="str">
        <f aca="false">IF($A27="","",TEXT($A27,"ddd"))</f>
        <v/>
      </c>
      <c r="C27" s="20"/>
      <c r="D27" s="20"/>
      <c r="E27" s="23" t="str">
        <f aca="false">IF($A27="","",N($C27)+N($D27))</f>
        <v/>
      </c>
      <c r="F27" s="20"/>
      <c r="G27" s="20"/>
      <c r="H27" s="20"/>
      <c r="I27" s="21"/>
      <c r="J27" s="21"/>
    </row>
    <row r="28" customFormat="false" ht="15" hidden="false" customHeight="false" outlineLevel="0" collapsed="false">
      <c r="A28" s="42"/>
      <c r="B28" s="23" t="str">
        <f aca="false">IF($A28="","",TEXT($A28,"ddd"))</f>
        <v/>
      </c>
      <c r="C28" s="20"/>
      <c r="D28" s="20"/>
      <c r="E28" s="23" t="str">
        <f aca="false">IF($A28="","",N($C28)+N($D28))</f>
        <v/>
      </c>
      <c r="F28" s="20"/>
      <c r="G28" s="20"/>
      <c r="H28" s="20"/>
      <c r="I28" s="21"/>
      <c r="J28" s="21"/>
    </row>
    <row r="29" customFormat="false" ht="15" hidden="false" customHeight="false" outlineLevel="0" collapsed="false">
      <c r="A29" s="42"/>
      <c r="B29" s="23" t="str">
        <f aca="false">IF($A29="","",TEXT($A29,"ddd"))</f>
        <v/>
      </c>
      <c r="C29" s="20"/>
      <c r="D29" s="20"/>
      <c r="E29" s="23" t="str">
        <f aca="false">IF($A29="","",N($C29)+N($D29))</f>
        <v/>
      </c>
      <c r="F29" s="20"/>
      <c r="G29" s="20"/>
      <c r="H29" s="20"/>
      <c r="I29" s="21"/>
      <c r="J29" s="21"/>
    </row>
    <row r="30" customFormat="false" ht="15" hidden="false" customHeight="false" outlineLevel="0" collapsed="false">
      <c r="A30" s="42"/>
      <c r="B30" s="23" t="str">
        <f aca="false">IF($A30="","",TEXT($A30,"ddd"))</f>
        <v/>
      </c>
      <c r="C30" s="20"/>
      <c r="D30" s="20"/>
      <c r="E30" s="23" t="str">
        <f aca="false">IF($A30="","",N($C30)+N($D30))</f>
        <v/>
      </c>
      <c r="F30" s="20"/>
      <c r="G30" s="20"/>
      <c r="H30" s="20"/>
      <c r="I30" s="21"/>
      <c r="J30" s="21"/>
    </row>
    <row r="31" customFormat="false" ht="15" hidden="false" customHeight="false" outlineLevel="0" collapsed="false">
      <c r="A31" s="42"/>
      <c r="B31" s="23" t="str">
        <f aca="false">IF($A31="","",TEXT($A31,"ddd"))</f>
        <v/>
      </c>
      <c r="C31" s="20"/>
      <c r="D31" s="20"/>
      <c r="E31" s="23" t="str">
        <f aca="false">IF($A31="","",N($C31)+N($D31))</f>
        <v/>
      </c>
      <c r="F31" s="20"/>
      <c r="G31" s="20"/>
      <c r="H31" s="20"/>
      <c r="I31" s="21"/>
      <c r="J31" s="21"/>
    </row>
    <row r="32" customFormat="false" ht="15" hidden="false" customHeight="false" outlineLevel="0" collapsed="false">
      <c r="A32" s="42"/>
      <c r="B32" s="23" t="str">
        <f aca="false">IF($A32="","",TEXT($A32,"ddd"))</f>
        <v/>
      </c>
      <c r="C32" s="20"/>
      <c r="D32" s="20"/>
      <c r="E32" s="23" t="str">
        <f aca="false">IF($A32="","",N($C32)+N($D32))</f>
        <v/>
      </c>
      <c r="F32" s="20"/>
      <c r="G32" s="20"/>
      <c r="H32" s="20"/>
      <c r="I32" s="21"/>
      <c r="J32" s="21"/>
    </row>
    <row r="33" customFormat="false" ht="15" hidden="false" customHeight="false" outlineLevel="0" collapsed="false">
      <c r="A33" s="42"/>
      <c r="B33" s="23" t="str">
        <f aca="false">IF($A33="","",TEXT($A33,"ddd"))</f>
        <v/>
      </c>
      <c r="C33" s="20"/>
      <c r="D33" s="20"/>
      <c r="E33" s="23" t="str">
        <f aca="false">IF($A33="","",N($C33)+N($D33))</f>
        <v/>
      </c>
      <c r="F33" s="20"/>
      <c r="G33" s="20"/>
      <c r="H33" s="20"/>
      <c r="I33" s="21"/>
      <c r="J33" s="21"/>
    </row>
    <row r="34" customFormat="false" ht="15" hidden="false" customHeight="false" outlineLevel="0" collapsed="false">
      <c r="A34" s="42"/>
      <c r="B34" s="23" t="str">
        <f aca="false">IF($A34="","",TEXT($A34,"ddd"))</f>
        <v/>
      </c>
      <c r="C34" s="20"/>
      <c r="D34" s="20"/>
      <c r="E34" s="23" t="str">
        <f aca="false">IF($A34="","",N($C34)+N($D34))</f>
        <v/>
      </c>
      <c r="F34" s="20"/>
      <c r="G34" s="20"/>
      <c r="H34" s="20"/>
      <c r="I34" s="21"/>
      <c r="J34" s="21"/>
    </row>
    <row r="35" customFormat="false" ht="15" hidden="false" customHeight="false" outlineLevel="0" collapsed="false">
      <c r="A35" s="42"/>
      <c r="B35" s="23" t="str">
        <f aca="false">IF($A35="","",TEXT($A35,"ddd"))</f>
        <v/>
      </c>
      <c r="C35" s="20"/>
      <c r="D35" s="20"/>
      <c r="E35" s="23" t="str">
        <f aca="false">IF($A35="","",N($C35)+N($D35))</f>
        <v/>
      </c>
      <c r="F35" s="20"/>
      <c r="G35" s="20"/>
      <c r="H35" s="20"/>
      <c r="I35" s="21"/>
      <c r="J35" s="21"/>
    </row>
    <row r="36" customFormat="false" ht="15" hidden="false" customHeight="false" outlineLevel="0" collapsed="false">
      <c r="A36" s="42"/>
      <c r="B36" s="23" t="str">
        <f aca="false">IF($A36="","",TEXT($A36,"ddd"))</f>
        <v/>
      </c>
      <c r="C36" s="20"/>
      <c r="D36" s="20"/>
      <c r="E36" s="23" t="str">
        <f aca="false">IF($A36="","",N($C36)+N($D36))</f>
        <v/>
      </c>
      <c r="F36" s="20"/>
      <c r="G36" s="20"/>
      <c r="H36" s="20"/>
      <c r="I36" s="21"/>
      <c r="J36" s="21"/>
    </row>
    <row r="37" customFormat="false" ht="15" hidden="false" customHeight="false" outlineLevel="0" collapsed="false">
      <c r="A37" s="42"/>
      <c r="B37" s="23" t="str">
        <f aca="false">IF($A37="","",TEXT($A37,"ddd"))</f>
        <v/>
      </c>
      <c r="C37" s="20"/>
      <c r="D37" s="20"/>
      <c r="E37" s="23" t="str">
        <f aca="false">IF($A37="","",N($C37)+N($D37))</f>
        <v/>
      </c>
      <c r="F37" s="20"/>
      <c r="G37" s="20"/>
      <c r="H37" s="20"/>
      <c r="I37" s="21"/>
      <c r="J37" s="21"/>
    </row>
    <row r="38" customFormat="false" ht="15" hidden="false" customHeight="false" outlineLevel="0" collapsed="false">
      <c r="A38" s="42"/>
      <c r="B38" s="23" t="str">
        <f aca="false">IF($A38="","",TEXT($A38,"ddd"))</f>
        <v/>
      </c>
      <c r="C38" s="20"/>
      <c r="D38" s="20"/>
      <c r="E38" s="23" t="str">
        <f aca="false">IF($A38="","",N($C38)+N($D38))</f>
        <v/>
      </c>
      <c r="F38" s="20"/>
      <c r="G38" s="20"/>
      <c r="H38" s="20"/>
      <c r="I38" s="21"/>
      <c r="J38" s="21"/>
    </row>
    <row r="39" customFormat="false" ht="15" hidden="false" customHeight="false" outlineLevel="0" collapsed="false">
      <c r="A39" s="42"/>
      <c r="B39" s="23" t="str">
        <f aca="false">IF($A39="","",TEXT($A39,"ddd"))</f>
        <v/>
      </c>
      <c r="C39" s="20"/>
      <c r="D39" s="20"/>
      <c r="E39" s="23" t="str">
        <f aca="false">IF($A39="","",N($C39)+N($D39))</f>
        <v/>
      </c>
      <c r="F39" s="20"/>
      <c r="G39" s="20"/>
      <c r="H39" s="20"/>
      <c r="I39" s="21"/>
      <c r="J39" s="21"/>
    </row>
    <row r="40" customFormat="false" ht="15" hidden="false" customHeight="false" outlineLevel="0" collapsed="false">
      <c r="A40" s="42"/>
      <c r="B40" s="23" t="str">
        <f aca="false">IF($A40="","",TEXT($A40,"ddd"))</f>
        <v/>
      </c>
      <c r="C40" s="20"/>
      <c r="D40" s="20"/>
      <c r="E40" s="23" t="str">
        <f aca="false">IF($A40="","",N($C40)+N($D40))</f>
        <v/>
      </c>
      <c r="F40" s="20"/>
      <c r="G40" s="20"/>
      <c r="H40" s="20"/>
      <c r="I40" s="21"/>
      <c r="J40" s="21"/>
    </row>
    <row r="41" customFormat="false" ht="15" hidden="false" customHeight="false" outlineLevel="0" collapsed="false">
      <c r="A41" s="42"/>
      <c r="B41" s="23" t="str">
        <f aca="false">IF($A41="","",TEXT($A41,"ddd"))</f>
        <v/>
      </c>
      <c r="C41" s="20"/>
      <c r="D41" s="20"/>
      <c r="E41" s="23" t="str">
        <f aca="false">IF($A41="","",N($C41)+N($D41))</f>
        <v/>
      </c>
      <c r="F41" s="20"/>
      <c r="G41" s="20"/>
      <c r="H41" s="20"/>
      <c r="I41" s="21"/>
      <c r="J41" s="21"/>
    </row>
    <row r="42" customFormat="false" ht="15" hidden="false" customHeight="false" outlineLevel="0" collapsed="false">
      <c r="A42" s="42"/>
      <c r="B42" s="23" t="str">
        <f aca="false">IF($A42="","",TEXT($A42,"ddd"))</f>
        <v/>
      </c>
      <c r="C42" s="20"/>
      <c r="D42" s="20"/>
      <c r="E42" s="23" t="str">
        <f aca="false">IF($A42="","",N($C42)+N($D42))</f>
        <v/>
      </c>
      <c r="F42" s="20"/>
      <c r="G42" s="20"/>
      <c r="H42" s="20"/>
      <c r="I42" s="21"/>
      <c r="J42" s="21"/>
    </row>
    <row r="43" customFormat="false" ht="15" hidden="false" customHeight="false" outlineLevel="0" collapsed="false">
      <c r="A43" s="42"/>
      <c r="B43" s="23" t="str">
        <f aca="false">IF($A43="","",TEXT($A43,"ddd"))</f>
        <v/>
      </c>
      <c r="C43" s="20"/>
      <c r="D43" s="20"/>
      <c r="E43" s="23" t="str">
        <f aca="false">IF($A43="","",N($C43)+N($D43))</f>
        <v/>
      </c>
      <c r="F43" s="20"/>
      <c r="G43" s="20"/>
      <c r="H43" s="20"/>
      <c r="I43" s="21"/>
      <c r="J43" s="21"/>
    </row>
    <row r="44" customFormat="false" ht="15" hidden="false" customHeight="false" outlineLevel="0" collapsed="false">
      <c r="A44" s="42"/>
      <c r="B44" s="23" t="str">
        <f aca="false">IF($A44="","",TEXT($A44,"ddd"))</f>
        <v/>
      </c>
      <c r="C44" s="20"/>
      <c r="D44" s="20"/>
      <c r="E44" s="23" t="str">
        <f aca="false">IF($A44="","",N($C44)+N($D44))</f>
        <v/>
      </c>
      <c r="F44" s="20"/>
      <c r="G44" s="20"/>
      <c r="H44" s="20"/>
      <c r="I44" s="21"/>
      <c r="J44" s="21"/>
    </row>
    <row r="45" customFormat="false" ht="15" hidden="false" customHeight="false" outlineLevel="0" collapsed="false">
      <c r="A45" s="42"/>
      <c r="B45" s="23" t="str">
        <f aca="false">IF($A45="","",TEXT($A45,"ddd"))</f>
        <v/>
      </c>
      <c r="C45" s="20"/>
      <c r="D45" s="20"/>
      <c r="E45" s="23" t="str">
        <f aca="false">IF($A45="","",N($C45)+N($D45))</f>
        <v/>
      </c>
      <c r="F45" s="20"/>
      <c r="G45" s="20"/>
      <c r="H45" s="20"/>
      <c r="I45" s="21"/>
      <c r="J45" s="21"/>
    </row>
    <row r="46" customFormat="false" ht="15" hidden="false" customHeight="false" outlineLevel="0" collapsed="false">
      <c r="A46" s="42"/>
      <c r="B46" s="23" t="str">
        <f aca="false">IF($A46="","",TEXT($A46,"ddd"))</f>
        <v/>
      </c>
      <c r="C46" s="20"/>
      <c r="D46" s="20"/>
      <c r="E46" s="23" t="str">
        <f aca="false">IF($A46="","",N($C46)+N($D46))</f>
        <v/>
      </c>
      <c r="F46" s="20"/>
      <c r="G46" s="20"/>
      <c r="H46" s="20"/>
      <c r="I46" s="21"/>
      <c r="J46" s="21"/>
    </row>
    <row r="47" customFormat="false" ht="15" hidden="false" customHeight="false" outlineLevel="0" collapsed="false">
      <c r="A47" s="42"/>
      <c r="B47" s="23" t="str">
        <f aca="false">IF($A47="","",TEXT($A47,"ddd"))</f>
        <v/>
      </c>
      <c r="C47" s="20"/>
      <c r="D47" s="20"/>
      <c r="E47" s="23" t="str">
        <f aca="false">IF($A47="","",N($C47)+N($D47))</f>
        <v/>
      </c>
      <c r="F47" s="20"/>
      <c r="G47" s="20"/>
      <c r="H47" s="20"/>
      <c r="I47" s="21"/>
      <c r="J47" s="21"/>
    </row>
    <row r="48" customFormat="false" ht="15" hidden="false" customHeight="false" outlineLevel="0" collapsed="false">
      <c r="A48" s="42"/>
      <c r="B48" s="23" t="str">
        <f aca="false">IF($A48="","",TEXT($A48,"ddd"))</f>
        <v/>
      </c>
      <c r="C48" s="20"/>
      <c r="D48" s="20"/>
      <c r="E48" s="23" t="str">
        <f aca="false">IF($A48="","",N($C48)+N($D48))</f>
        <v/>
      </c>
      <c r="F48" s="20"/>
      <c r="G48" s="20"/>
      <c r="H48" s="20"/>
      <c r="I48" s="21"/>
      <c r="J48" s="21"/>
    </row>
    <row r="49" customFormat="false" ht="15" hidden="false" customHeight="false" outlineLevel="0" collapsed="false">
      <c r="A49" s="42"/>
      <c r="B49" s="23" t="str">
        <f aca="false">IF($A49="","",TEXT($A49,"ddd"))</f>
        <v/>
      </c>
      <c r="C49" s="20"/>
      <c r="D49" s="20"/>
      <c r="E49" s="23" t="str">
        <f aca="false">IF($A49="","",N($C49)+N($D49))</f>
        <v/>
      </c>
      <c r="F49" s="20"/>
      <c r="G49" s="20"/>
      <c r="H49" s="20"/>
      <c r="I49" s="21"/>
      <c r="J49" s="21"/>
    </row>
    <row r="50" customFormat="false" ht="15" hidden="false" customHeight="false" outlineLevel="0" collapsed="false">
      <c r="A50" s="42"/>
      <c r="B50" s="23" t="str">
        <f aca="false">IF($A50="","",TEXT($A50,"ddd"))</f>
        <v/>
      </c>
      <c r="C50" s="20"/>
      <c r="D50" s="20"/>
      <c r="E50" s="23" t="str">
        <f aca="false">IF($A50="","",N($C50)+N($D50))</f>
        <v/>
      </c>
      <c r="F50" s="20"/>
      <c r="G50" s="20"/>
      <c r="H50" s="20"/>
      <c r="I50" s="21"/>
      <c r="J50" s="21"/>
    </row>
    <row r="51" customFormat="false" ht="15" hidden="false" customHeight="false" outlineLevel="0" collapsed="false">
      <c r="A51" s="42"/>
      <c r="B51" s="23" t="str">
        <f aca="false">IF($A51="","",TEXT($A51,"ddd"))</f>
        <v/>
      </c>
      <c r="C51" s="20"/>
      <c r="D51" s="20"/>
      <c r="E51" s="23" t="str">
        <f aca="false">IF($A51="","",N($C51)+N($D51))</f>
        <v/>
      </c>
      <c r="F51" s="20"/>
      <c r="G51" s="20"/>
      <c r="H51" s="20"/>
      <c r="I51" s="21"/>
      <c r="J51" s="21"/>
    </row>
    <row r="52" customFormat="false" ht="15" hidden="false" customHeight="false" outlineLevel="0" collapsed="false">
      <c r="A52" s="42"/>
      <c r="B52" s="23" t="str">
        <f aca="false">IF($A52="","",TEXT($A52,"ddd"))</f>
        <v/>
      </c>
      <c r="C52" s="20"/>
      <c r="D52" s="20"/>
      <c r="E52" s="23" t="str">
        <f aca="false">IF($A52="","",N($C52)+N($D52))</f>
        <v/>
      </c>
      <c r="F52" s="20"/>
      <c r="G52" s="20"/>
      <c r="H52" s="20"/>
      <c r="I52" s="21"/>
      <c r="J52" s="21"/>
    </row>
    <row r="53" customFormat="false" ht="15" hidden="false" customHeight="false" outlineLevel="0" collapsed="false">
      <c r="A53" s="42"/>
      <c r="B53" s="23" t="str">
        <f aca="false">IF($A53="","",TEXT($A53,"ddd"))</f>
        <v/>
      </c>
      <c r="C53" s="20"/>
      <c r="D53" s="20"/>
      <c r="E53" s="23" t="str">
        <f aca="false">IF($A53="","",N($C53)+N($D53))</f>
        <v/>
      </c>
      <c r="F53" s="20"/>
      <c r="G53" s="20"/>
      <c r="H53" s="20"/>
      <c r="I53" s="21"/>
      <c r="J53" s="21"/>
    </row>
    <row r="54" customFormat="false" ht="15" hidden="false" customHeight="false" outlineLevel="0" collapsed="false">
      <c r="A54" s="42"/>
      <c r="B54" s="23" t="str">
        <f aca="false">IF($A54="","",TEXT($A54,"ddd"))</f>
        <v/>
      </c>
      <c r="C54" s="20"/>
      <c r="D54" s="20"/>
      <c r="E54" s="23" t="str">
        <f aca="false">IF($A54="","",N($C54)+N($D54))</f>
        <v/>
      </c>
      <c r="F54" s="20"/>
      <c r="G54" s="20"/>
      <c r="H54" s="20"/>
      <c r="I54" s="21"/>
      <c r="J54" s="21"/>
    </row>
    <row r="55" customFormat="false" ht="15" hidden="false" customHeight="false" outlineLevel="0" collapsed="false">
      <c r="A55" s="42"/>
      <c r="B55" s="23" t="str">
        <f aca="false">IF($A55="","",TEXT($A55,"ddd"))</f>
        <v/>
      </c>
      <c r="C55" s="20"/>
      <c r="D55" s="20"/>
      <c r="E55" s="23" t="str">
        <f aca="false">IF($A55="","",N($C55)+N($D55))</f>
        <v/>
      </c>
      <c r="F55" s="20"/>
      <c r="G55" s="20"/>
      <c r="H55" s="20"/>
      <c r="I55" s="21"/>
      <c r="J55" s="21"/>
    </row>
    <row r="56" customFormat="false" ht="15" hidden="false" customHeight="false" outlineLevel="0" collapsed="false">
      <c r="A56" s="42"/>
      <c r="B56" s="23" t="str">
        <f aca="false">IF($A56="","",TEXT($A56,"ddd"))</f>
        <v/>
      </c>
      <c r="C56" s="20"/>
      <c r="D56" s="20"/>
      <c r="E56" s="23" t="str">
        <f aca="false">IF($A56="","",N($C56)+N($D56))</f>
        <v/>
      </c>
      <c r="F56" s="20"/>
      <c r="G56" s="20"/>
      <c r="H56" s="20"/>
      <c r="I56" s="21"/>
      <c r="J56" s="21"/>
    </row>
    <row r="57" customFormat="false" ht="15" hidden="false" customHeight="false" outlineLevel="0" collapsed="false">
      <c r="A57" s="42"/>
      <c r="B57" s="23" t="str">
        <f aca="false">IF($A57="","",TEXT($A57,"ddd"))</f>
        <v/>
      </c>
      <c r="C57" s="20"/>
      <c r="D57" s="20"/>
      <c r="E57" s="23" t="str">
        <f aca="false">IF($A57="","",N($C57)+N($D57))</f>
        <v/>
      </c>
      <c r="F57" s="20"/>
      <c r="G57" s="20"/>
      <c r="H57" s="20"/>
      <c r="I57" s="21"/>
      <c r="J57" s="21"/>
    </row>
    <row r="58" customFormat="false" ht="15" hidden="false" customHeight="false" outlineLevel="0" collapsed="false">
      <c r="A58" s="42"/>
      <c r="B58" s="23" t="str">
        <f aca="false">IF($A58="","",TEXT($A58,"ddd"))</f>
        <v/>
      </c>
      <c r="C58" s="20"/>
      <c r="D58" s="20"/>
      <c r="E58" s="23" t="str">
        <f aca="false">IF($A58="","",N($C58)+N($D58))</f>
        <v/>
      </c>
      <c r="F58" s="20"/>
      <c r="G58" s="20"/>
      <c r="H58" s="20"/>
      <c r="I58" s="21"/>
      <c r="J58" s="21"/>
    </row>
    <row r="59" customFormat="false" ht="15" hidden="false" customHeight="false" outlineLevel="0" collapsed="false">
      <c r="A59" s="42"/>
      <c r="B59" s="23" t="str">
        <f aca="false">IF($A59="","",TEXT($A59,"ddd"))</f>
        <v/>
      </c>
      <c r="C59" s="20"/>
      <c r="D59" s="20"/>
      <c r="E59" s="23" t="str">
        <f aca="false">IF($A59="","",N($C59)+N($D59))</f>
        <v/>
      </c>
      <c r="F59" s="20"/>
      <c r="G59" s="20"/>
      <c r="H59" s="20"/>
      <c r="I59" s="21"/>
      <c r="J59" s="21"/>
    </row>
    <row r="60" customFormat="false" ht="15" hidden="false" customHeight="false" outlineLevel="0" collapsed="false">
      <c r="A60" s="42"/>
      <c r="B60" s="23" t="str">
        <f aca="false">IF($A60="","",TEXT($A60,"ddd"))</f>
        <v/>
      </c>
      <c r="C60" s="20"/>
      <c r="D60" s="20"/>
      <c r="E60" s="23" t="str">
        <f aca="false">IF($A60="","",N($C60)+N($D60))</f>
        <v/>
      </c>
      <c r="F60" s="20"/>
      <c r="G60" s="20"/>
      <c r="H60" s="20"/>
      <c r="I60" s="21"/>
      <c r="J60" s="21"/>
    </row>
    <row r="61" customFormat="false" ht="15" hidden="false" customHeight="false" outlineLevel="0" collapsed="false">
      <c r="A61" s="42"/>
      <c r="B61" s="23" t="str">
        <f aca="false">IF($A61="","",TEXT($A61,"ddd"))</f>
        <v/>
      </c>
      <c r="C61" s="20"/>
      <c r="D61" s="20"/>
      <c r="E61" s="23" t="str">
        <f aca="false">IF($A61="","",N($C61)+N($D61))</f>
        <v/>
      </c>
      <c r="F61" s="20"/>
      <c r="G61" s="20"/>
      <c r="H61" s="20"/>
      <c r="I61" s="21"/>
      <c r="J61" s="21"/>
    </row>
    <row r="62" customFormat="false" ht="15" hidden="false" customHeight="false" outlineLevel="0" collapsed="false">
      <c r="A62" s="42"/>
      <c r="B62" s="23" t="str">
        <f aca="false">IF($A62="","",TEXT($A62,"ddd"))</f>
        <v/>
      </c>
      <c r="C62" s="20"/>
      <c r="D62" s="20"/>
      <c r="E62" s="23" t="str">
        <f aca="false">IF($A62="","",N($C62)+N($D62))</f>
        <v/>
      </c>
      <c r="F62" s="20"/>
      <c r="G62" s="20"/>
      <c r="H62" s="20"/>
      <c r="I62" s="21"/>
      <c r="J62" s="21"/>
    </row>
    <row r="63" customFormat="false" ht="15" hidden="false" customHeight="false" outlineLevel="0" collapsed="false">
      <c r="A63" s="42"/>
      <c r="B63" s="23" t="str">
        <f aca="false">IF($A63="","",TEXT($A63,"ddd"))</f>
        <v/>
      </c>
      <c r="C63" s="20"/>
      <c r="D63" s="20"/>
      <c r="E63" s="23" t="str">
        <f aca="false">IF($A63="","",N($C63)+N($D63))</f>
        <v/>
      </c>
      <c r="F63" s="20"/>
      <c r="G63" s="20"/>
      <c r="H63" s="20"/>
      <c r="I63" s="21"/>
      <c r="J63" s="21"/>
    </row>
    <row r="64" customFormat="false" ht="15" hidden="false" customHeight="false" outlineLevel="0" collapsed="false">
      <c r="A64" s="42"/>
      <c r="B64" s="23" t="str">
        <f aca="false">IF($A64="","",TEXT($A64,"ddd"))</f>
        <v/>
      </c>
      <c r="C64" s="20"/>
      <c r="D64" s="20"/>
      <c r="E64" s="23" t="str">
        <f aca="false">IF($A64="","",N($C64)+N($D64))</f>
        <v/>
      </c>
      <c r="F64" s="20"/>
      <c r="G64" s="20"/>
      <c r="H64" s="20"/>
      <c r="I64" s="21"/>
      <c r="J64" s="21"/>
    </row>
    <row r="65" customFormat="false" ht="15" hidden="false" customHeight="false" outlineLevel="0" collapsed="false">
      <c r="A65" s="42"/>
      <c r="B65" s="23" t="str">
        <f aca="false">IF($A65="","",TEXT($A65,"ddd"))</f>
        <v/>
      </c>
      <c r="C65" s="20"/>
      <c r="D65" s="20"/>
      <c r="E65" s="23" t="str">
        <f aca="false">IF($A65="","",N($C65)+N($D65))</f>
        <v/>
      </c>
      <c r="F65" s="20"/>
      <c r="G65" s="20"/>
      <c r="H65" s="20"/>
      <c r="I65" s="21"/>
      <c r="J65" s="21"/>
    </row>
    <row r="66" customFormat="false" ht="15" hidden="false" customHeight="false" outlineLevel="0" collapsed="false">
      <c r="A66" s="42"/>
      <c r="B66" s="23" t="str">
        <f aca="false">IF($A66="","",TEXT($A66,"ddd"))</f>
        <v/>
      </c>
      <c r="C66" s="20"/>
      <c r="D66" s="20"/>
      <c r="E66" s="23" t="str">
        <f aca="false">IF($A66="","",N($C66)+N($D66))</f>
        <v/>
      </c>
      <c r="F66" s="20"/>
      <c r="G66" s="20"/>
      <c r="H66" s="20"/>
      <c r="I66" s="21"/>
      <c r="J66" s="21"/>
    </row>
    <row r="67" customFormat="false" ht="15" hidden="false" customHeight="false" outlineLevel="0" collapsed="false">
      <c r="A67" s="42"/>
      <c r="B67" s="23" t="str">
        <f aca="false">IF($A67="","",TEXT($A67,"ddd"))</f>
        <v/>
      </c>
      <c r="C67" s="20"/>
      <c r="D67" s="20"/>
      <c r="E67" s="23" t="str">
        <f aca="false">IF($A67="","",N($C67)+N($D67))</f>
        <v/>
      </c>
      <c r="F67" s="20"/>
      <c r="G67" s="20"/>
      <c r="H67" s="20"/>
      <c r="I67" s="21"/>
      <c r="J67" s="21"/>
    </row>
    <row r="68" customFormat="false" ht="15" hidden="false" customHeight="false" outlineLevel="0" collapsed="false">
      <c r="A68" s="42"/>
      <c r="B68" s="23" t="str">
        <f aca="false">IF($A68="","",TEXT($A68,"ddd"))</f>
        <v/>
      </c>
      <c r="C68" s="20"/>
      <c r="D68" s="20"/>
      <c r="E68" s="23" t="str">
        <f aca="false">IF($A68="","",N($C68)+N($D68))</f>
        <v/>
      </c>
      <c r="F68" s="20"/>
      <c r="G68" s="20"/>
      <c r="H68" s="20"/>
      <c r="I68" s="21"/>
      <c r="J68" s="21"/>
    </row>
    <row r="69" customFormat="false" ht="15" hidden="false" customHeight="false" outlineLevel="0" collapsed="false">
      <c r="A69" s="42"/>
      <c r="B69" s="23" t="str">
        <f aca="false">IF($A69="","",TEXT($A69,"ddd"))</f>
        <v/>
      </c>
      <c r="C69" s="20"/>
      <c r="D69" s="20"/>
      <c r="E69" s="23" t="str">
        <f aca="false">IF($A69="","",N($C69)+N($D69))</f>
        <v/>
      </c>
      <c r="F69" s="20"/>
      <c r="G69" s="20"/>
      <c r="H69" s="20"/>
      <c r="I69" s="21"/>
      <c r="J69" s="21"/>
    </row>
    <row r="70" customFormat="false" ht="15" hidden="false" customHeight="false" outlineLevel="0" collapsed="false">
      <c r="A70" s="42"/>
      <c r="B70" s="23" t="str">
        <f aca="false">IF($A70="","",TEXT($A70,"ddd"))</f>
        <v/>
      </c>
      <c r="C70" s="20"/>
      <c r="D70" s="20"/>
      <c r="E70" s="23" t="str">
        <f aca="false">IF($A70="","",N($C70)+N($D70))</f>
        <v/>
      </c>
      <c r="F70" s="20"/>
      <c r="G70" s="20"/>
      <c r="H70" s="20"/>
      <c r="I70" s="21"/>
      <c r="J70" s="21"/>
    </row>
    <row r="71" customFormat="false" ht="15" hidden="false" customHeight="false" outlineLevel="0" collapsed="false">
      <c r="A71" s="42"/>
      <c r="B71" s="23" t="str">
        <f aca="false">IF($A71="","",TEXT($A71,"ddd"))</f>
        <v/>
      </c>
      <c r="C71" s="20"/>
      <c r="D71" s="20"/>
      <c r="E71" s="23" t="str">
        <f aca="false">IF($A71="","",N($C71)+N($D71))</f>
        <v/>
      </c>
      <c r="F71" s="20"/>
      <c r="G71" s="20"/>
      <c r="H71" s="20"/>
      <c r="I71" s="21"/>
      <c r="J71" s="21"/>
    </row>
    <row r="72" customFormat="false" ht="15" hidden="false" customHeight="false" outlineLevel="0" collapsed="false">
      <c r="A72" s="42"/>
      <c r="B72" s="23" t="str">
        <f aca="false">IF($A72="","",TEXT($A72,"ddd"))</f>
        <v/>
      </c>
      <c r="C72" s="20"/>
      <c r="D72" s="20"/>
      <c r="E72" s="23" t="str">
        <f aca="false">IF($A72="","",N($C72)+N($D72))</f>
        <v/>
      </c>
      <c r="F72" s="20"/>
      <c r="G72" s="20"/>
      <c r="H72" s="20"/>
      <c r="I72" s="21"/>
      <c r="J72" s="21"/>
    </row>
    <row r="73" customFormat="false" ht="15" hidden="false" customHeight="false" outlineLevel="0" collapsed="false">
      <c r="A73" s="42"/>
      <c r="B73" s="23" t="str">
        <f aca="false">IF($A73="","",TEXT($A73,"ddd"))</f>
        <v/>
      </c>
      <c r="C73" s="20"/>
      <c r="D73" s="20"/>
      <c r="E73" s="23" t="str">
        <f aca="false">IF($A73="","",N($C73)+N($D73))</f>
        <v/>
      </c>
      <c r="F73" s="20"/>
      <c r="G73" s="20"/>
      <c r="H73" s="20"/>
      <c r="I73" s="21"/>
      <c r="J73" s="21"/>
    </row>
    <row r="74" customFormat="false" ht="15" hidden="false" customHeight="false" outlineLevel="0" collapsed="false">
      <c r="A74" s="42"/>
      <c r="B74" s="23" t="str">
        <f aca="false">IF($A74="","",TEXT($A74,"ddd"))</f>
        <v/>
      </c>
      <c r="C74" s="20"/>
      <c r="D74" s="20"/>
      <c r="E74" s="23" t="str">
        <f aca="false">IF($A74="","",N($C74)+N($D74))</f>
        <v/>
      </c>
      <c r="F74" s="20"/>
      <c r="G74" s="20"/>
      <c r="H74" s="20"/>
      <c r="I74" s="21"/>
      <c r="J74" s="21"/>
    </row>
    <row r="75" customFormat="false" ht="15" hidden="false" customHeight="false" outlineLevel="0" collapsed="false">
      <c r="A75" s="42"/>
      <c r="B75" s="23" t="str">
        <f aca="false">IF($A75="","",TEXT($A75,"ddd"))</f>
        <v/>
      </c>
      <c r="C75" s="20"/>
      <c r="D75" s="20"/>
      <c r="E75" s="23" t="str">
        <f aca="false">IF($A75="","",N($C75)+N($D75))</f>
        <v/>
      </c>
      <c r="F75" s="20"/>
      <c r="G75" s="20"/>
      <c r="H75" s="20"/>
      <c r="I75" s="21"/>
      <c r="J75" s="21"/>
    </row>
    <row r="76" customFormat="false" ht="15" hidden="false" customHeight="false" outlineLevel="0" collapsed="false">
      <c r="A76" s="42"/>
      <c r="B76" s="23" t="str">
        <f aca="false">IF($A76="","",TEXT($A76,"ddd"))</f>
        <v/>
      </c>
      <c r="C76" s="20"/>
      <c r="D76" s="20"/>
      <c r="E76" s="23" t="str">
        <f aca="false">IF($A76="","",N($C76)+N($D76))</f>
        <v/>
      </c>
      <c r="F76" s="20"/>
      <c r="G76" s="20"/>
      <c r="H76" s="20"/>
      <c r="I76" s="21"/>
      <c r="J76" s="21"/>
    </row>
    <row r="77" customFormat="false" ht="15" hidden="false" customHeight="false" outlineLevel="0" collapsed="false">
      <c r="A77" s="42"/>
      <c r="B77" s="23" t="str">
        <f aca="false">IF($A77="","",TEXT($A77,"ddd"))</f>
        <v/>
      </c>
      <c r="C77" s="20"/>
      <c r="D77" s="20"/>
      <c r="E77" s="23" t="str">
        <f aca="false">IF($A77="","",N($C77)+N($D77))</f>
        <v/>
      </c>
      <c r="F77" s="20"/>
      <c r="G77" s="20"/>
      <c r="H77" s="20"/>
      <c r="I77" s="21"/>
      <c r="J77" s="21"/>
    </row>
    <row r="78" customFormat="false" ht="15" hidden="false" customHeight="false" outlineLevel="0" collapsed="false">
      <c r="A78" s="42"/>
      <c r="B78" s="23" t="str">
        <f aca="false">IF($A78="","",TEXT($A78,"ddd"))</f>
        <v/>
      </c>
      <c r="C78" s="20"/>
      <c r="D78" s="20"/>
      <c r="E78" s="23" t="str">
        <f aca="false">IF($A78="","",N($C78)+N($D78))</f>
        <v/>
      </c>
      <c r="F78" s="20"/>
      <c r="G78" s="20"/>
      <c r="H78" s="20"/>
      <c r="I78" s="21"/>
      <c r="J78" s="21"/>
    </row>
    <row r="79" customFormat="false" ht="15" hidden="false" customHeight="false" outlineLevel="0" collapsed="false">
      <c r="A79" s="42"/>
      <c r="B79" s="23" t="str">
        <f aca="false">IF($A79="","",TEXT($A79,"ddd"))</f>
        <v/>
      </c>
      <c r="C79" s="20"/>
      <c r="D79" s="20"/>
      <c r="E79" s="23" t="str">
        <f aca="false">IF($A79="","",N($C79)+N($D79))</f>
        <v/>
      </c>
      <c r="F79" s="20"/>
      <c r="G79" s="20"/>
      <c r="H79" s="20"/>
      <c r="I79" s="21"/>
      <c r="J79" s="21"/>
    </row>
    <row r="80" customFormat="false" ht="15" hidden="false" customHeight="false" outlineLevel="0" collapsed="false">
      <c r="A80" s="42"/>
      <c r="B80" s="23" t="str">
        <f aca="false">IF($A80="","",TEXT($A80,"ddd"))</f>
        <v/>
      </c>
      <c r="C80" s="20"/>
      <c r="D80" s="20"/>
      <c r="E80" s="23" t="str">
        <f aca="false">IF($A80="","",N($C80)+N($D80))</f>
        <v/>
      </c>
      <c r="F80" s="20"/>
      <c r="G80" s="20"/>
      <c r="H80" s="20"/>
      <c r="I80" s="21"/>
      <c r="J80" s="21"/>
    </row>
    <row r="81" customFormat="false" ht="15" hidden="false" customHeight="false" outlineLevel="0" collapsed="false">
      <c r="A81" s="42"/>
      <c r="B81" s="23" t="str">
        <f aca="false">IF($A81="","",TEXT($A81,"ddd"))</f>
        <v/>
      </c>
      <c r="C81" s="20"/>
      <c r="D81" s="20"/>
      <c r="E81" s="23" t="str">
        <f aca="false">IF($A81="","",N($C81)+N($D81))</f>
        <v/>
      </c>
      <c r="F81" s="20"/>
      <c r="G81" s="20"/>
      <c r="H81" s="20"/>
      <c r="I81" s="21"/>
      <c r="J81" s="21"/>
    </row>
    <row r="82" customFormat="false" ht="15" hidden="false" customHeight="false" outlineLevel="0" collapsed="false">
      <c r="A82" s="42"/>
      <c r="B82" s="23" t="str">
        <f aca="false">IF($A82="","",TEXT($A82,"ddd"))</f>
        <v/>
      </c>
      <c r="C82" s="20"/>
      <c r="D82" s="20"/>
      <c r="E82" s="23" t="str">
        <f aca="false">IF($A82="","",N($C82)+N($D82))</f>
        <v/>
      </c>
      <c r="F82" s="20"/>
      <c r="G82" s="20"/>
      <c r="H82" s="20"/>
      <c r="I82" s="21"/>
      <c r="J82" s="21"/>
    </row>
    <row r="83" customFormat="false" ht="15" hidden="false" customHeight="false" outlineLevel="0" collapsed="false">
      <c r="A83" s="42"/>
      <c r="B83" s="23" t="str">
        <f aca="false">IF($A83="","",TEXT($A83,"ddd"))</f>
        <v/>
      </c>
      <c r="C83" s="20"/>
      <c r="D83" s="20"/>
      <c r="E83" s="23" t="str">
        <f aca="false">IF($A83="","",N($C83)+N($D83))</f>
        <v/>
      </c>
      <c r="F83" s="20"/>
      <c r="G83" s="20"/>
      <c r="H83" s="20"/>
      <c r="I83" s="21"/>
      <c r="J83" s="21"/>
    </row>
    <row r="84" customFormat="false" ht="15" hidden="false" customHeight="false" outlineLevel="0" collapsed="false">
      <c r="A84" s="42"/>
      <c r="B84" s="23" t="str">
        <f aca="false">IF($A84="","",TEXT($A84,"ddd"))</f>
        <v/>
      </c>
      <c r="C84" s="20"/>
      <c r="D84" s="20"/>
      <c r="E84" s="23" t="str">
        <f aca="false">IF($A84="","",N($C84)+N($D84))</f>
        <v/>
      </c>
      <c r="F84" s="20"/>
      <c r="G84" s="20"/>
      <c r="H84" s="20"/>
      <c r="I84" s="21"/>
      <c r="J84" s="21"/>
    </row>
    <row r="85" customFormat="false" ht="15" hidden="false" customHeight="false" outlineLevel="0" collapsed="false">
      <c r="A85" s="42"/>
      <c r="B85" s="23" t="str">
        <f aca="false">IF($A85="","",TEXT($A85,"ddd"))</f>
        <v/>
      </c>
      <c r="C85" s="20"/>
      <c r="D85" s="20"/>
      <c r="E85" s="23" t="str">
        <f aca="false">IF($A85="","",N($C85)+N($D85))</f>
        <v/>
      </c>
      <c r="F85" s="20"/>
      <c r="G85" s="20"/>
      <c r="H85" s="20"/>
      <c r="I85" s="21"/>
      <c r="J85" s="21"/>
    </row>
    <row r="86" customFormat="false" ht="15" hidden="false" customHeight="false" outlineLevel="0" collapsed="false">
      <c r="A86" s="42"/>
      <c r="B86" s="23" t="str">
        <f aca="false">IF($A86="","",TEXT($A86,"ddd"))</f>
        <v/>
      </c>
      <c r="C86" s="20"/>
      <c r="D86" s="20"/>
      <c r="E86" s="23" t="str">
        <f aca="false">IF($A86="","",N($C86)+N($D86))</f>
        <v/>
      </c>
      <c r="F86" s="20"/>
      <c r="G86" s="20"/>
      <c r="H86" s="20"/>
      <c r="I86" s="21"/>
      <c r="J86" s="21"/>
    </row>
    <row r="87" customFormat="false" ht="15" hidden="false" customHeight="false" outlineLevel="0" collapsed="false">
      <c r="A87" s="42"/>
      <c r="B87" s="23" t="str">
        <f aca="false">IF($A87="","",TEXT($A87,"ddd"))</f>
        <v/>
      </c>
      <c r="C87" s="20"/>
      <c r="D87" s="20"/>
      <c r="E87" s="23" t="str">
        <f aca="false">IF($A87="","",N($C87)+N($D87))</f>
        <v/>
      </c>
      <c r="F87" s="20"/>
      <c r="G87" s="20"/>
      <c r="H87" s="20"/>
      <c r="I87" s="21"/>
      <c r="J87" s="21"/>
    </row>
    <row r="88" customFormat="false" ht="15" hidden="false" customHeight="false" outlineLevel="0" collapsed="false">
      <c r="A88" s="42"/>
      <c r="B88" s="23" t="str">
        <f aca="false">IF($A88="","",TEXT($A88,"ddd"))</f>
        <v/>
      </c>
      <c r="C88" s="20"/>
      <c r="D88" s="20"/>
      <c r="E88" s="23" t="str">
        <f aca="false">IF($A88="","",N($C88)+N($D88))</f>
        <v/>
      </c>
      <c r="F88" s="20"/>
      <c r="G88" s="20"/>
      <c r="H88" s="20"/>
      <c r="I88" s="21"/>
      <c r="J88" s="21"/>
    </row>
    <row r="89" customFormat="false" ht="15" hidden="false" customHeight="false" outlineLevel="0" collapsed="false">
      <c r="A89" s="42"/>
      <c r="B89" s="23" t="str">
        <f aca="false">IF($A89="","",TEXT($A89,"ddd"))</f>
        <v/>
      </c>
      <c r="C89" s="20"/>
      <c r="D89" s="20"/>
      <c r="E89" s="23" t="str">
        <f aca="false">IF($A89="","",N($C89)+N($D89))</f>
        <v/>
      </c>
      <c r="F89" s="20"/>
      <c r="G89" s="20"/>
      <c r="H89" s="20"/>
      <c r="I89" s="21"/>
      <c r="J89" s="21"/>
    </row>
    <row r="90" customFormat="false" ht="15" hidden="false" customHeight="false" outlineLevel="0" collapsed="false">
      <c r="A90" s="42"/>
      <c r="B90" s="23" t="str">
        <f aca="false">IF($A90="","",TEXT($A90,"ddd"))</f>
        <v/>
      </c>
      <c r="C90" s="20"/>
      <c r="D90" s="20"/>
      <c r="E90" s="23" t="str">
        <f aca="false">IF($A90="","",N($C90)+N($D90))</f>
        <v/>
      </c>
      <c r="F90" s="20"/>
      <c r="G90" s="20"/>
      <c r="H90" s="20"/>
      <c r="I90" s="21"/>
      <c r="J90" s="21"/>
    </row>
    <row r="91" customFormat="false" ht="15" hidden="false" customHeight="false" outlineLevel="0" collapsed="false">
      <c r="A91" s="42"/>
      <c r="B91" s="23" t="str">
        <f aca="false">IF($A91="","",TEXT($A91,"ddd"))</f>
        <v/>
      </c>
      <c r="C91" s="20"/>
      <c r="D91" s="20"/>
      <c r="E91" s="23" t="str">
        <f aca="false">IF($A91="","",N($C91)+N($D91))</f>
        <v/>
      </c>
      <c r="F91" s="20"/>
      <c r="G91" s="20"/>
      <c r="H91" s="20"/>
      <c r="I91" s="21"/>
      <c r="J91" s="21"/>
    </row>
    <row r="92" customFormat="false" ht="15" hidden="false" customHeight="false" outlineLevel="0" collapsed="false">
      <c r="A92" s="42"/>
      <c r="B92" s="23" t="str">
        <f aca="false">IF($A92="","",TEXT($A92,"ddd"))</f>
        <v/>
      </c>
      <c r="C92" s="20"/>
      <c r="D92" s="20"/>
      <c r="E92" s="23" t="str">
        <f aca="false">IF($A92="","",N($C92)+N($D92))</f>
        <v/>
      </c>
      <c r="F92" s="20"/>
      <c r="G92" s="20"/>
      <c r="H92" s="20"/>
      <c r="I92" s="21"/>
      <c r="J92" s="21"/>
    </row>
    <row r="93" customFormat="false" ht="15" hidden="false" customHeight="false" outlineLevel="0" collapsed="false">
      <c r="A93" s="42"/>
      <c r="B93" s="23" t="str">
        <f aca="false">IF($A93="","",TEXT($A93,"ddd"))</f>
        <v/>
      </c>
      <c r="C93" s="20"/>
      <c r="D93" s="20"/>
      <c r="E93" s="23" t="str">
        <f aca="false">IF($A93="","",N($C93)+N($D93))</f>
        <v/>
      </c>
      <c r="F93" s="20"/>
      <c r="G93" s="20"/>
      <c r="H93" s="20"/>
      <c r="I93" s="21"/>
      <c r="J93" s="21"/>
    </row>
    <row r="94" customFormat="false" ht="15" hidden="false" customHeight="false" outlineLevel="0" collapsed="false">
      <c r="A94" s="42"/>
      <c r="B94" s="23" t="str">
        <f aca="false">IF($A94="","",TEXT($A94,"ddd"))</f>
        <v/>
      </c>
      <c r="C94" s="20"/>
      <c r="D94" s="20"/>
      <c r="E94" s="23" t="str">
        <f aca="false">IF($A94="","",N($C94)+N($D94))</f>
        <v/>
      </c>
      <c r="F94" s="20"/>
      <c r="G94" s="20"/>
      <c r="H94" s="20"/>
      <c r="I94" s="21"/>
      <c r="J94" s="21"/>
    </row>
    <row r="95" customFormat="false" ht="15" hidden="false" customHeight="false" outlineLevel="0" collapsed="false">
      <c r="A95" s="42"/>
      <c r="B95" s="23" t="str">
        <f aca="false">IF($A95="","",TEXT($A95,"ddd"))</f>
        <v/>
      </c>
      <c r="C95" s="20"/>
      <c r="D95" s="20"/>
      <c r="E95" s="23" t="str">
        <f aca="false">IF($A95="","",N($C95)+N($D95))</f>
        <v/>
      </c>
      <c r="F95" s="20"/>
      <c r="G95" s="20"/>
      <c r="H95" s="20"/>
      <c r="I95" s="21"/>
      <c r="J95" s="21"/>
    </row>
    <row r="96" customFormat="false" ht="15" hidden="false" customHeight="false" outlineLevel="0" collapsed="false">
      <c r="A96" s="42"/>
      <c r="B96" s="23" t="str">
        <f aca="false">IF($A96="","",TEXT($A96,"ddd"))</f>
        <v/>
      </c>
      <c r="C96" s="20"/>
      <c r="D96" s="20"/>
      <c r="E96" s="23" t="str">
        <f aca="false">IF($A96="","",N($C96)+N($D96))</f>
        <v/>
      </c>
      <c r="F96" s="20"/>
      <c r="G96" s="20"/>
      <c r="H96" s="20"/>
      <c r="I96" s="21"/>
      <c r="J96" s="21"/>
    </row>
    <row r="97" customFormat="false" ht="15" hidden="false" customHeight="false" outlineLevel="0" collapsed="false">
      <c r="A97" s="42"/>
      <c r="B97" s="23" t="str">
        <f aca="false">IF($A97="","",TEXT($A97,"ddd"))</f>
        <v/>
      </c>
      <c r="C97" s="20"/>
      <c r="D97" s="20"/>
      <c r="E97" s="23" t="str">
        <f aca="false">IF($A97="","",N($C97)+N($D97))</f>
        <v/>
      </c>
      <c r="F97" s="20"/>
      <c r="G97" s="20"/>
      <c r="H97" s="20"/>
      <c r="I97" s="21"/>
      <c r="J97" s="21"/>
    </row>
    <row r="98" customFormat="false" ht="15" hidden="false" customHeight="false" outlineLevel="0" collapsed="false">
      <c r="A98" s="42"/>
      <c r="B98" s="23" t="str">
        <f aca="false">IF($A98="","",TEXT($A98,"ddd"))</f>
        <v/>
      </c>
      <c r="C98" s="20"/>
      <c r="D98" s="20"/>
      <c r="E98" s="23" t="str">
        <f aca="false">IF($A98="","",N($C98)+N($D98))</f>
        <v/>
      </c>
      <c r="F98" s="20"/>
      <c r="G98" s="20"/>
      <c r="H98" s="20"/>
      <c r="I98" s="21"/>
      <c r="J98" s="21"/>
    </row>
    <row r="99" customFormat="false" ht="15" hidden="false" customHeight="false" outlineLevel="0" collapsed="false">
      <c r="A99" s="42"/>
      <c r="B99" s="23" t="str">
        <f aca="false">IF($A99="","",TEXT($A99,"ddd"))</f>
        <v/>
      </c>
      <c r="C99" s="20"/>
      <c r="D99" s="20"/>
      <c r="E99" s="23" t="str">
        <f aca="false">IF($A99="","",N($C99)+N($D99))</f>
        <v/>
      </c>
      <c r="F99" s="20"/>
      <c r="G99" s="20"/>
      <c r="H99" s="20"/>
      <c r="I99" s="21"/>
      <c r="J99" s="21"/>
    </row>
    <row r="100" customFormat="false" ht="15" hidden="false" customHeight="false" outlineLevel="0" collapsed="false">
      <c r="A100" s="42"/>
      <c r="B100" s="23" t="str">
        <f aca="false">IF($A100="","",TEXT($A100,"ddd"))</f>
        <v/>
      </c>
      <c r="C100" s="20"/>
      <c r="D100" s="20"/>
      <c r="E100" s="23" t="str">
        <f aca="false">IF($A100="","",N($C100)+N($D100))</f>
        <v/>
      </c>
      <c r="F100" s="20"/>
      <c r="G100" s="20"/>
      <c r="H100" s="20"/>
      <c r="I100" s="21"/>
      <c r="J100" s="21"/>
    </row>
    <row r="101" customFormat="false" ht="15" hidden="false" customHeight="false" outlineLevel="0" collapsed="false">
      <c r="A101" s="42"/>
      <c r="B101" s="23" t="str">
        <f aca="false">IF($A101="","",TEXT($A101,"ddd"))</f>
        <v/>
      </c>
      <c r="C101" s="20"/>
      <c r="D101" s="20"/>
      <c r="E101" s="23" t="str">
        <f aca="false">IF($A101="","",N($C101)+N($D101))</f>
        <v/>
      </c>
      <c r="F101" s="20"/>
      <c r="G101" s="20"/>
      <c r="H101" s="20"/>
      <c r="I101" s="21"/>
      <c r="J101" s="21"/>
    </row>
    <row r="102" customFormat="false" ht="15" hidden="false" customHeight="false" outlineLevel="0" collapsed="false">
      <c r="A102" s="42"/>
      <c r="B102" s="23" t="str">
        <f aca="false">IF($A102="","",TEXT($A102,"ddd"))</f>
        <v/>
      </c>
      <c r="C102" s="20"/>
      <c r="D102" s="20"/>
      <c r="E102" s="23" t="str">
        <f aca="false">IF($A102="","",N($C102)+N($D102))</f>
        <v/>
      </c>
      <c r="F102" s="20"/>
      <c r="G102" s="20"/>
      <c r="H102" s="20"/>
      <c r="I102" s="21"/>
      <c r="J102" s="21"/>
    </row>
    <row r="103" customFormat="false" ht="15" hidden="false" customHeight="false" outlineLevel="0" collapsed="false">
      <c r="A103" s="42"/>
      <c r="B103" s="23" t="str">
        <f aca="false">IF($A103="","",TEXT($A103,"ddd"))</f>
        <v/>
      </c>
      <c r="C103" s="20"/>
      <c r="D103" s="20"/>
      <c r="E103" s="23" t="str">
        <f aca="false">IF($A103="","",N($C103)+N($D103))</f>
        <v/>
      </c>
      <c r="F103" s="20"/>
      <c r="G103" s="20"/>
      <c r="H103" s="20"/>
      <c r="I103" s="21"/>
      <c r="J103" s="21"/>
    </row>
    <row r="104" customFormat="false" ht="15" hidden="false" customHeight="false" outlineLevel="0" collapsed="false">
      <c r="A104" s="42"/>
      <c r="B104" s="23" t="str">
        <f aca="false">IF($A104="","",TEXT($A104,"ddd"))</f>
        <v/>
      </c>
      <c r="C104" s="20"/>
      <c r="D104" s="20"/>
      <c r="E104" s="23" t="str">
        <f aca="false">IF($A104="","",N($C104)+N($D104))</f>
        <v/>
      </c>
      <c r="F104" s="20"/>
      <c r="G104" s="20"/>
      <c r="H104" s="20"/>
      <c r="I104" s="21"/>
      <c r="J104" s="21"/>
    </row>
    <row r="105" customFormat="false" ht="15" hidden="false" customHeight="false" outlineLevel="0" collapsed="false">
      <c r="A105" s="42"/>
      <c r="B105" s="23" t="str">
        <f aca="false">IF($A105="","",TEXT($A105,"ddd"))</f>
        <v/>
      </c>
      <c r="C105" s="20"/>
      <c r="D105" s="20"/>
      <c r="E105" s="23" t="str">
        <f aca="false">IF($A105="","",N($C105)+N($D105))</f>
        <v/>
      </c>
      <c r="F105" s="20"/>
      <c r="G105" s="20"/>
      <c r="H105" s="20"/>
      <c r="I105" s="21"/>
      <c r="J105" s="21"/>
    </row>
    <row r="106" customFormat="false" ht="15" hidden="false" customHeight="false" outlineLevel="0" collapsed="false">
      <c r="A106" s="42"/>
      <c r="B106" s="23" t="str">
        <f aca="false">IF($A106="","",TEXT($A106,"ddd"))</f>
        <v/>
      </c>
      <c r="C106" s="20"/>
      <c r="D106" s="20"/>
      <c r="E106" s="23" t="str">
        <f aca="false">IF($A106="","",N($C106)+N($D106))</f>
        <v/>
      </c>
      <c r="F106" s="20"/>
      <c r="G106" s="20"/>
      <c r="H106" s="20"/>
      <c r="I106" s="21"/>
      <c r="J106" s="21"/>
    </row>
    <row r="107" customFormat="false" ht="15" hidden="false" customHeight="false" outlineLevel="0" collapsed="false">
      <c r="A107" s="42"/>
      <c r="B107" s="23" t="str">
        <f aca="false">IF($A107="","",TEXT($A107,"ddd"))</f>
        <v/>
      </c>
      <c r="C107" s="20"/>
      <c r="D107" s="20"/>
      <c r="E107" s="23" t="str">
        <f aca="false">IF($A107="","",N($C107)+N($D107))</f>
        <v/>
      </c>
      <c r="F107" s="20"/>
      <c r="G107" s="20"/>
      <c r="H107" s="20"/>
      <c r="I107" s="21"/>
      <c r="J107" s="21"/>
    </row>
    <row r="108" customFormat="false" ht="15" hidden="false" customHeight="false" outlineLevel="0" collapsed="false">
      <c r="A108" s="42"/>
      <c r="B108" s="23" t="str">
        <f aca="false">IF($A108="","",TEXT($A108,"ddd"))</f>
        <v/>
      </c>
      <c r="C108" s="20"/>
      <c r="D108" s="20"/>
      <c r="E108" s="23" t="str">
        <f aca="false">IF($A108="","",N($C108)+N($D108))</f>
        <v/>
      </c>
      <c r="F108" s="20"/>
      <c r="G108" s="20"/>
      <c r="H108" s="20"/>
      <c r="I108" s="21"/>
      <c r="J108" s="21"/>
    </row>
    <row r="109" customFormat="false" ht="15" hidden="false" customHeight="false" outlineLevel="0" collapsed="false">
      <c r="A109" s="42"/>
      <c r="B109" s="23" t="str">
        <f aca="false">IF($A109="","",TEXT($A109,"ddd"))</f>
        <v/>
      </c>
      <c r="C109" s="20"/>
      <c r="D109" s="20"/>
      <c r="E109" s="23" t="str">
        <f aca="false">IF($A109="","",N($C109)+N($D109))</f>
        <v/>
      </c>
      <c r="F109" s="20"/>
      <c r="G109" s="20"/>
      <c r="H109" s="20"/>
      <c r="I109" s="21"/>
      <c r="J109" s="21"/>
    </row>
    <row r="110" customFormat="false" ht="15" hidden="false" customHeight="false" outlineLevel="0" collapsed="false">
      <c r="A110" s="42"/>
      <c r="B110" s="23" t="str">
        <f aca="false">IF($A110="","",TEXT($A110,"ddd"))</f>
        <v/>
      </c>
      <c r="C110" s="20"/>
      <c r="D110" s="20"/>
      <c r="E110" s="23" t="str">
        <f aca="false">IF($A110="","",N($C110)+N($D110))</f>
        <v/>
      </c>
      <c r="F110" s="20"/>
      <c r="G110" s="20"/>
      <c r="H110" s="20"/>
      <c r="I110" s="21"/>
      <c r="J110" s="21"/>
    </row>
    <row r="111" customFormat="false" ht="15" hidden="false" customHeight="false" outlineLevel="0" collapsed="false">
      <c r="A111" s="42"/>
      <c r="B111" s="23" t="str">
        <f aca="false">IF($A111="","",TEXT($A111,"ddd"))</f>
        <v/>
      </c>
      <c r="C111" s="20"/>
      <c r="D111" s="20"/>
      <c r="E111" s="23" t="str">
        <f aca="false">IF($A111="","",N($C111)+N($D111))</f>
        <v/>
      </c>
      <c r="F111" s="20"/>
      <c r="G111" s="20"/>
      <c r="H111" s="20"/>
      <c r="I111" s="21"/>
      <c r="J111" s="21"/>
    </row>
    <row r="112" customFormat="false" ht="15" hidden="false" customHeight="false" outlineLevel="0" collapsed="false">
      <c r="A112" s="42"/>
      <c r="B112" s="23" t="str">
        <f aca="false">IF($A112="","",TEXT($A112,"ddd"))</f>
        <v/>
      </c>
      <c r="C112" s="20"/>
      <c r="D112" s="20"/>
      <c r="E112" s="23" t="str">
        <f aca="false">IF($A112="","",N($C112)+N($D112))</f>
        <v/>
      </c>
      <c r="F112" s="20"/>
      <c r="G112" s="20"/>
      <c r="H112" s="20"/>
      <c r="I112" s="21"/>
      <c r="J112" s="21"/>
    </row>
    <row r="113" customFormat="false" ht="15" hidden="false" customHeight="false" outlineLevel="0" collapsed="false">
      <c r="A113" s="42"/>
      <c r="B113" s="23" t="str">
        <f aca="false">IF($A113="","",TEXT($A113,"ddd"))</f>
        <v/>
      </c>
      <c r="C113" s="20"/>
      <c r="D113" s="20"/>
      <c r="E113" s="23" t="str">
        <f aca="false">IF($A113="","",N($C113)+N($D113))</f>
        <v/>
      </c>
      <c r="F113" s="20"/>
      <c r="G113" s="20"/>
      <c r="H113" s="20"/>
      <c r="I113" s="21"/>
      <c r="J113" s="21"/>
    </row>
    <row r="114" customFormat="false" ht="15" hidden="false" customHeight="false" outlineLevel="0" collapsed="false">
      <c r="A114" s="42"/>
      <c r="B114" s="23" t="str">
        <f aca="false">IF($A114="","",TEXT($A114,"ddd"))</f>
        <v/>
      </c>
      <c r="C114" s="20"/>
      <c r="D114" s="20"/>
      <c r="E114" s="23" t="str">
        <f aca="false">IF($A114="","",N($C114)+N($D114))</f>
        <v/>
      </c>
      <c r="F114" s="20"/>
      <c r="G114" s="20"/>
      <c r="H114" s="20"/>
      <c r="I114" s="21"/>
      <c r="J114" s="21"/>
    </row>
    <row r="115" customFormat="false" ht="15" hidden="false" customHeight="false" outlineLevel="0" collapsed="false">
      <c r="A115" s="42"/>
      <c r="B115" s="23" t="str">
        <f aca="false">IF($A115="","",TEXT($A115,"ddd"))</f>
        <v/>
      </c>
      <c r="C115" s="20"/>
      <c r="D115" s="20"/>
      <c r="E115" s="23" t="str">
        <f aca="false">IF($A115="","",N($C115)+N($D115))</f>
        <v/>
      </c>
      <c r="F115" s="20"/>
      <c r="G115" s="20"/>
      <c r="H115" s="20"/>
      <c r="I115" s="21"/>
      <c r="J115" s="21"/>
    </row>
    <row r="116" customFormat="false" ht="15" hidden="false" customHeight="false" outlineLevel="0" collapsed="false">
      <c r="A116" s="42"/>
      <c r="B116" s="23" t="str">
        <f aca="false">IF($A116="","",TEXT($A116,"ddd"))</f>
        <v/>
      </c>
      <c r="C116" s="20"/>
      <c r="D116" s="20"/>
      <c r="E116" s="23" t="str">
        <f aca="false">IF($A116="","",N($C116)+N($D116))</f>
        <v/>
      </c>
      <c r="F116" s="20"/>
      <c r="G116" s="20"/>
      <c r="H116" s="20"/>
      <c r="I116" s="21"/>
      <c r="J116" s="21"/>
    </row>
    <row r="117" customFormat="false" ht="15" hidden="false" customHeight="false" outlineLevel="0" collapsed="false">
      <c r="A117" s="42"/>
      <c r="B117" s="23" t="str">
        <f aca="false">IF($A117="","",TEXT($A117,"ddd"))</f>
        <v/>
      </c>
      <c r="C117" s="20"/>
      <c r="D117" s="20"/>
      <c r="E117" s="23" t="str">
        <f aca="false">IF($A117="","",N($C117)+N($D117))</f>
        <v/>
      </c>
      <c r="F117" s="20"/>
      <c r="G117" s="20"/>
      <c r="H117" s="20"/>
      <c r="I117" s="21"/>
      <c r="J117" s="21"/>
    </row>
    <row r="118" customFormat="false" ht="15" hidden="false" customHeight="false" outlineLevel="0" collapsed="false">
      <c r="A118" s="42"/>
      <c r="B118" s="23" t="str">
        <f aca="false">IF($A118="","",TEXT($A118,"ddd"))</f>
        <v/>
      </c>
      <c r="C118" s="20"/>
      <c r="D118" s="20"/>
      <c r="E118" s="23" t="str">
        <f aca="false">IF($A118="","",N($C118)+N($D118))</f>
        <v/>
      </c>
      <c r="F118" s="20"/>
      <c r="G118" s="20"/>
      <c r="H118" s="20"/>
      <c r="I118" s="21"/>
      <c r="J118" s="21"/>
    </row>
    <row r="119" customFormat="false" ht="15" hidden="false" customHeight="false" outlineLevel="0" collapsed="false">
      <c r="A119" s="42"/>
      <c r="B119" s="23" t="str">
        <f aca="false">IF($A119="","",TEXT($A119,"ddd"))</f>
        <v/>
      </c>
      <c r="C119" s="20"/>
      <c r="D119" s="20"/>
      <c r="E119" s="23" t="str">
        <f aca="false">IF($A119="","",N($C119)+N($D119))</f>
        <v/>
      </c>
      <c r="F119" s="20"/>
      <c r="G119" s="20"/>
      <c r="H119" s="20"/>
      <c r="I119" s="21"/>
      <c r="J119" s="21"/>
    </row>
    <row r="120" customFormat="false" ht="15" hidden="false" customHeight="false" outlineLevel="0" collapsed="false">
      <c r="A120" s="42"/>
      <c r="B120" s="23" t="str">
        <f aca="false">IF($A120="","",TEXT($A120,"ddd"))</f>
        <v/>
      </c>
      <c r="C120" s="20"/>
      <c r="D120" s="20"/>
      <c r="E120" s="23" t="str">
        <f aca="false">IF($A120="","",N($C120)+N($D120))</f>
        <v/>
      </c>
      <c r="F120" s="20"/>
      <c r="G120" s="20"/>
      <c r="H120" s="20"/>
      <c r="I120" s="21"/>
      <c r="J120" s="21"/>
    </row>
    <row r="121" customFormat="false" ht="15" hidden="false" customHeight="false" outlineLevel="0" collapsed="false">
      <c r="A121" s="42"/>
      <c r="B121" s="23" t="str">
        <f aca="false">IF($A121="","",TEXT($A121,"ddd"))</f>
        <v/>
      </c>
      <c r="C121" s="20"/>
      <c r="D121" s="20"/>
      <c r="E121" s="23" t="str">
        <f aca="false">IF($A121="","",N($C121)+N($D121))</f>
        <v/>
      </c>
      <c r="F121" s="20"/>
      <c r="G121" s="20"/>
      <c r="H121" s="20"/>
      <c r="I121" s="21"/>
      <c r="J121" s="21"/>
    </row>
    <row r="122" customFormat="false" ht="15" hidden="false" customHeight="false" outlineLevel="0" collapsed="false">
      <c r="A122" s="42"/>
      <c r="B122" s="23" t="str">
        <f aca="false">IF($A122="","",TEXT($A122,"ddd"))</f>
        <v/>
      </c>
      <c r="C122" s="20"/>
      <c r="D122" s="20"/>
      <c r="E122" s="23" t="str">
        <f aca="false">IF($A122="","",N($C122)+N($D122))</f>
        <v/>
      </c>
      <c r="F122" s="20"/>
      <c r="G122" s="20"/>
      <c r="H122" s="20"/>
      <c r="I122" s="21"/>
      <c r="J122" s="21"/>
    </row>
    <row r="123" customFormat="false" ht="15" hidden="false" customHeight="false" outlineLevel="0" collapsed="false">
      <c r="A123" s="42"/>
      <c r="B123" s="23" t="str">
        <f aca="false">IF($A123="","",TEXT($A123,"ddd"))</f>
        <v/>
      </c>
      <c r="C123" s="20"/>
      <c r="D123" s="20"/>
      <c r="E123" s="23" t="str">
        <f aca="false">IF($A123="","",N($C123)+N($D123))</f>
        <v/>
      </c>
      <c r="F123" s="20"/>
      <c r="G123" s="20"/>
      <c r="H123" s="20"/>
      <c r="I123" s="21"/>
      <c r="J123" s="21"/>
    </row>
    <row r="124" customFormat="false" ht="15" hidden="false" customHeight="false" outlineLevel="0" collapsed="false">
      <c r="A124" s="42"/>
      <c r="B124" s="23" t="str">
        <f aca="false">IF($A124="","",TEXT($A124,"ddd"))</f>
        <v/>
      </c>
      <c r="C124" s="20"/>
      <c r="D124" s="20"/>
      <c r="E124" s="23" t="str">
        <f aca="false">IF($A124="","",N($C124)+N($D124))</f>
        <v/>
      </c>
      <c r="F124" s="20"/>
      <c r="G124" s="20"/>
      <c r="H124" s="20"/>
      <c r="I124" s="21"/>
      <c r="J124" s="21"/>
    </row>
    <row r="125" customFormat="false" ht="15" hidden="false" customHeight="false" outlineLevel="0" collapsed="false">
      <c r="A125" s="42"/>
      <c r="B125" s="23" t="str">
        <f aca="false">IF($A125="","",TEXT($A125,"ddd"))</f>
        <v/>
      </c>
      <c r="C125" s="20"/>
      <c r="D125" s="20"/>
      <c r="E125" s="23" t="str">
        <f aca="false">IF($A125="","",N($C125)+N($D125))</f>
        <v/>
      </c>
      <c r="F125" s="20"/>
      <c r="G125" s="20"/>
      <c r="H125" s="20"/>
      <c r="I125" s="21"/>
      <c r="J125" s="21"/>
    </row>
    <row r="126" customFormat="false" ht="15" hidden="false" customHeight="false" outlineLevel="0" collapsed="false">
      <c r="A126" s="42"/>
      <c r="B126" s="23" t="str">
        <f aca="false">IF($A126="","",TEXT($A126,"ddd"))</f>
        <v/>
      </c>
      <c r="C126" s="20"/>
      <c r="D126" s="20"/>
      <c r="E126" s="23" t="str">
        <f aca="false">IF($A126="","",N($C126)+N($D126))</f>
        <v/>
      </c>
      <c r="F126" s="20"/>
      <c r="G126" s="20"/>
      <c r="H126" s="20"/>
      <c r="I126" s="21"/>
      <c r="J126" s="21"/>
    </row>
    <row r="127" customFormat="false" ht="15" hidden="false" customHeight="false" outlineLevel="0" collapsed="false">
      <c r="A127" s="42"/>
      <c r="B127" s="23" t="str">
        <f aca="false">IF($A127="","",TEXT($A127,"ddd"))</f>
        <v/>
      </c>
      <c r="C127" s="20"/>
      <c r="D127" s="20"/>
      <c r="E127" s="23" t="str">
        <f aca="false">IF($A127="","",N($C127)+N($D127))</f>
        <v/>
      </c>
      <c r="F127" s="20"/>
      <c r="G127" s="20"/>
      <c r="H127" s="20"/>
      <c r="I127" s="21"/>
      <c r="J127" s="21"/>
    </row>
    <row r="128" customFormat="false" ht="15" hidden="false" customHeight="false" outlineLevel="0" collapsed="false">
      <c r="A128" s="42"/>
      <c r="B128" s="23" t="str">
        <f aca="false">IF($A128="","",TEXT($A128,"ddd"))</f>
        <v/>
      </c>
      <c r="C128" s="20"/>
      <c r="D128" s="20"/>
      <c r="E128" s="23" t="str">
        <f aca="false">IF($A128="","",N($C128)+N($D128))</f>
        <v/>
      </c>
      <c r="F128" s="20"/>
      <c r="G128" s="20"/>
      <c r="H128" s="20"/>
      <c r="I128" s="21"/>
      <c r="J128" s="21"/>
    </row>
    <row r="129" customFormat="false" ht="15" hidden="false" customHeight="false" outlineLevel="0" collapsed="false">
      <c r="A129" s="42"/>
      <c r="B129" s="23" t="str">
        <f aca="false">IF($A129="","",TEXT($A129,"ddd"))</f>
        <v/>
      </c>
      <c r="C129" s="20"/>
      <c r="D129" s="20"/>
      <c r="E129" s="23" t="str">
        <f aca="false">IF($A129="","",N($C129)+N($D129))</f>
        <v/>
      </c>
      <c r="F129" s="20"/>
      <c r="G129" s="20"/>
      <c r="H129" s="20"/>
      <c r="I129" s="21"/>
      <c r="J129" s="21"/>
    </row>
    <row r="130" customFormat="false" ht="15" hidden="false" customHeight="false" outlineLevel="0" collapsed="false">
      <c r="A130" s="42"/>
      <c r="B130" s="23" t="str">
        <f aca="false">IF($A130="","",TEXT($A130,"ddd"))</f>
        <v/>
      </c>
      <c r="C130" s="20"/>
      <c r="D130" s="20"/>
      <c r="E130" s="23" t="str">
        <f aca="false">IF($A130="","",N($C130)+N($D130))</f>
        <v/>
      </c>
      <c r="F130" s="20"/>
      <c r="G130" s="20"/>
      <c r="H130" s="20"/>
      <c r="I130" s="21"/>
      <c r="J130" s="21"/>
    </row>
    <row r="131" customFormat="false" ht="15" hidden="false" customHeight="false" outlineLevel="0" collapsed="false">
      <c r="A131" s="42"/>
      <c r="B131" s="23" t="str">
        <f aca="false">IF($A131="","",TEXT($A131,"ddd"))</f>
        <v/>
      </c>
      <c r="C131" s="20"/>
      <c r="D131" s="20"/>
      <c r="E131" s="23" t="str">
        <f aca="false">IF($A131="","",N($C131)+N($D131))</f>
        <v/>
      </c>
      <c r="F131" s="20"/>
      <c r="G131" s="20"/>
      <c r="H131" s="20"/>
      <c r="I131" s="21"/>
      <c r="J131" s="21"/>
    </row>
    <row r="132" customFormat="false" ht="15" hidden="false" customHeight="false" outlineLevel="0" collapsed="false">
      <c r="A132" s="42"/>
      <c r="B132" s="23" t="str">
        <f aca="false">IF($A132="","",TEXT($A132,"ddd"))</f>
        <v/>
      </c>
      <c r="C132" s="20"/>
      <c r="D132" s="20"/>
      <c r="E132" s="23" t="str">
        <f aca="false">IF($A132="","",N($C132)+N($D132))</f>
        <v/>
      </c>
      <c r="F132" s="20"/>
      <c r="G132" s="20"/>
      <c r="H132" s="20"/>
      <c r="I132" s="21"/>
      <c r="J132" s="21"/>
    </row>
    <row r="133" customFormat="false" ht="15" hidden="false" customHeight="false" outlineLevel="0" collapsed="false">
      <c r="A133" s="42"/>
      <c r="B133" s="23" t="str">
        <f aca="false">IF($A133="","",TEXT($A133,"ddd"))</f>
        <v/>
      </c>
      <c r="C133" s="20"/>
      <c r="D133" s="20"/>
      <c r="E133" s="23" t="str">
        <f aca="false">IF($A133="","",N($C133)+N($D133))</f>
        <v/>
      </c>
      <c r="F133" s="20"/>
      <c r="G133" s="20"/>
      <c r="H133" s="20"/>
      <c r="I133" s="21"/>
      <c r="J133" s="21"/>
    </row>
    <row r="134" customFormat="false" ht="15" hidden="false" customHeight="false" outlineLevel="0" collapsed="false">
      <c r="A134" s="42"/>
      <c r="B134" s="23" t="str">
        <f aca="false">IF($A134="","",TEXT($A134,"ddd"))</f>
        <v/>
      </c>
      <c r="C134" s="20"/>
      <c r="D134" s="20"/>
      <c r="E134" s="23" t="str">
        <f aca="false">IF($A134="","",N($C134)+N($D134))</f>
        <v/>
      </c>
      <c r="F134" s="20"/>
      <c r="G134" s="20"/>
      <c r="H134" s="20"/>
      <c r="I134" s="21"/>
      <c r="J134" s="21"/>
    </row>
    <row r="135" customFormat="false" ht="15" hidden="false" customHeight="false" outlineLevel="0" collapsed="false">
      <c r="A135" s="42"/>
      <c r="B135" s="23" t="str">
        <f aca="false">IF($A135="","",TEXT($A135,"ddd"))</f>
        <v/>
      </c>
      <c r="C135" s="20"/>
      <c r="D135" s="20"/>
      <c r="E135" s="23" t="str">
        <f aca="false">IF($A135="","",N($C135)+N($D135))</f>
        <v/>
      </c>
      <c r="F135" s="20"/>
      <c r="G135" s="20"/>
      <c r="H135" s="20"/>
      <c r="I135" s="21"/>
      <c r="J135" s="21"/>
    </row>
    <row r="136" customFormat="false" ht="15" hidden="false" customHeight="false" outlineLevel="0" collapsed="false">
      <c r="A136" s="42"/>
      <c r="B136" s="23" t="str">
        <f aca="false">IF($A136="","",TEXT($A136,"ddd"))</f>
        <v/>
      </c>
      <c r="C136" s="20"/>
      <c r="D136" s="20"/>
      <c r="E136" s="23" t="str">
        <f aca="false">IF($A136="","",N($C136)+N($D136))</f>
        <v/>
      </c>
      <c r="F136" s="20"/>
      <c r="G136" s="20"/>
      <c r="H136" s="20"/>
      <c r="I136" s="21"/>
      <c r="J136" s="21"/>
    </row>
    <row r="137" customFormat="false" ht="15" hidden="false" customHeight="false" outlineLevel="0" collapsed="false">
      <c r="A137" s="42"/>
      <c r="B137" s="23" t="str">
        <f aca="false">IF($A137="","",TEXT($A137,"ddd"))</f>
        <v/>
      </c>
      <c r="C137" s="20"/>
      <c r="D137" s="20"/>
      <c r="E137" s="23" t="str">
        <f aca="false">IF($A137="","",N($C137)+N($D137))</f>
        <v/>
      </c>
      <c r="F137" s="20"/>
      <c r="G137" s="20"/>
      <c r="H137" s="20"/>
      <c r="I137" s="21"/>
      <c r="J137" s="21"/>
    </row>
    <row r="138" customFormat="false" ht="15" hidden="false" customHeight="false" outlineLevel="0" collapsed="false">
      <c r="A138" s="42"/>
      <c r="B138" s="23" t="str">
        <f aca="false">IF($A138="","",TEXT($A138,"ddd"))</f>
        <v/>
      </c>
      <c r="C138" s="20"/>
      <c r="D138" s="20"/>
      <c r="E138" s="23" t="str">
        <f aca="false">IF($A138="","",N($C138)+N($D138))</f>
        <v/>
      </c>
      <c r="F138" s="20"/>
      <c r="G138" s="20"/>
      <c r="H138" s="20"/>
      <c r="I138" s="21"/>
      <c r="J138" s="21"/>
    </row>
    <row r="139" customFormat="false" ht="15" hidden="false" customHeight="false" outlineLevel="0" collapsed="false">
      <c r="A139" s="42"/>
      <c r="B139" s="23" t="str">
        <f aca="false">IF($A139="","",TEXT($A139,"ddd"))</f>
        <v/>
      </c>
      <c r="C139" s="20"/>
      <c r="D139" s="20"/>
      <c r="E139" s="23" t="str">
        <f aca="false">IF($A139="","",N($C139)+N($D139))</f>
        <v/>
      </c>
      <c r="F139" s="20"/>
      <c r="G139" s="20"/>
      <c r="H139" s="20"/>
      <c r="I139" s="21"/>
      <c r="J139" s="21"/>
    </row>
    <row r="140" customFormat="false" ht="15" hidden="false" customHeight="false" outlineLevel="0" collapsed="false">
      <c r="A140" s="42"/>
      <c r="B140" s="23" t="str">
        <f aca="false">IF($A140="","",TEXT($A140,"ddd"))</f>
        <v/>
      </c>
      <c r="C140" s="20"/>
      <c r="D140" s="20"/>
      <c r="E140" s="23" t="str">
        <f aca="false">IF($A140="","",N($C140)+N($D140))</f>
        <v/>
      </c>
      <c r="F140" s="20"/>
      <c r="G140" s="20"/>
      <c r="H140" s="20"/>
      <c r="I140" s="21"/>
      <c r="J140" s="21"/>
    </row>
    <row r="141" customFormat="false" ht="15" hidden="false" customHeight="false" outlineLevel="0" collapsed="false">
      <c r="A141" s="42"/>
      <c r="B141" s="23" t="str">
        <f aca="false">IF($A141="","",TEXT($A141,"ddd"))</f>
        <v/>
      </c>
      <c r="C141" s="20"/>
      <c r="D141" s="20"/>
      <c r="E141" s="23" t="str">
        <f aca="false">IF($A141="","",N($C141)+N($D141))</f>
        <v/>
      </c>
      <c r="F141" s="20"/>
      <c r="G141" s="20"/>
      <c r="H141" s="20"/>
      <c r="I141" s="21"/>
      <c r="J141" s="21"/>
    </row>
    <row r="142" customFormat="false" ht="15" hidden="false" customHeight="false" outlineLevel="0" collapsed="false">
      <c r="A142" s="42"/>
      <c r="B142" s="23" t="str">
        <f aca="false">IF($A142="","",TEXT($A142,"ddd"))</f>
        <v/>
      </c>
      <c r="C142" s="20"/>
      <c r="D142" s="20"/>
      <c r="E142" s="23" t="str">
        <f aca="false">IF($A142="","",N($C142)+N($D142))</f>
        <v/>
      </c>
      <c r="F142" s="20"/>
      <c r="G142" s="20"/>
      <c r="H142" s="20"/>
      <c r="I142" s="21"/>
      <c r="J142" s="21"/>
    </row>
    <row r="143" customFormat="false" ht="15" hidden="false" customHeight="false" outlineLevel="0" collapsed="false">
      <c r="A143" s="42"/>
      <c r="B143" s="23" t="str">
        <f aca="false">IF($A143="","",TEXT($A143,"ddd"))</f>
        <v/>
      </c>
      <c r="C143" s="20"/>
      <c r="D143" s="20"/>
      <c r="E143" s="23" t="str">
        <f aca="false">IF($A143="","",N($C143)+N($D143))</f>
        <v/>
      </c>
      <c r="F143" s="20"/>
      <c r="G143" s="20"/>
      <c r="H143" s="20"/>
      <c r="I143" s="21"/>
      <c r="J143" s="21"/>
    </row>
    <row r="144" customFormat="false" ht="15" hidden="false" customHeight="false" outlineLevel="0" collapsed="false">
      <c r="A144" s="42"/>
      <c r="B144" s="23" t="str">
        <f aca="false">IF($A144="","",TEXT($A144,"ddd"))</f>
        <v/>
      </c>
      <c r="C144" s="20"/>
      <c r="D144" s="20"/>
      <c r="E144" s="23" t="str">
        <f aca="false">IF($A144="","",N($C144)+N($D144))</f>
        <v/>
      </c>
      <c r="F144" s="20"/>
      <c r="G144" s="20"/>
      <c r="H144" s="20"/>
      <c r="I144" s="21"/>
      <c r="J144" s="21"/>
    </row>
    <row r="145" customFormat="false" ht="15" hidden="false" customHeight="false" outlineLevel="0" collapsed="false">
      <c r="A145" s="42"/>
      <c r="B145" s="23" t="str">
        <f aca="false">IF($A145="","",TEXT($A145,"ddd"))</f>
        <v/>
      </c>
      <c r="C145" s="20"/>
      <c r="D145" s="20"/>
      <c r="E145" s="23" t="str">
        <f aca="false">IF($A145="","",N($C145)+N($D145))</f>
        <v/>
      </c>
      <c r="F145" s="20"/>
      <c r="G145" s="20"/>
      <c r="H145" s="20"/>
      <c r="I145" s="21"/>
      <c r="J145" s="21"/>
    </row>
    <row r="146" customFormat="false" ht="15" hidden="false" customHeight="false" outlineLevel="0" collapsed="false">
      <c r="A146" s="42"/>
      <c r="B146" s="23" t="str">
        <f aca="false">IF($A146="","",TEXT($A146,"ddd"))</f>
        <v/>
      </c>
      <c r="C146" s="20"/>
      <c r="D146" s="20"/>
      <c r="E146" s="23" t="str">
        <f aca="false">IF($A146="","",N($C146)+N($D146))</f>
        <v/>
      </c>
      <c r="F146" s="20"/>
      <c r="G146" s="20"/>
      <c r="H146" s="20"/>
      <c r="I146" s="21"/>
      <c r="J146" s="21"/>
    </row>
    <row r="147" customFormat="false" ht="15" hidden="false" customHeight="false" outlineLevel="0" collapsed="false">
      <c r="A147" s="42"/>
      <c r="B147" s="23" t="str">
        <f aca="false">IF($A147="","",TEXT($A147,"ddd"))</f>
        <v/>
      </c>
      <c r="C147" s="20"/>
      <c r="D147" s="20"/>
      <c r="E147" s="23" t="str">
        <f aca="false">IF($A147="","",N($C147)+N($D147))</f>
        <v/>
      </c>
      <c r="F147" s="20"/>
      <c r="G147" s="20"/>
      <c r="H147" s="20"/>
      <c r="I147" s="21"/>
      <c r="J147" s="21"/>
    </row>
    <row r="148" customFormat="false" ht="15" hidden="false" customHeight="false" outlineLevel="0" collapsed="false">
      <c r="A148" s="42"/>
      <c r="B148" s="23" t="str">
        <f aca="false">IF($A148="","",TEXT($A148,"ddd"))</f>
        <v/>
      </c>
      <c r="C148" s="20"/>
      <c r="D148" s="20"/>
      <c r="E148" s="23" t="str">
        <f aca="false">IF($A148="","",N($C148)+N($D148))</f>
        <v/>
      </c>
      <c r="F148" s="20"/>
      <c r="G148" s="20"/>
      <c r="H148" s="20"/>
      <c r="I148" s="21"/>
      <c r="J148" s="21"/>
    </row>
    <row r="149" customFormat="false" ht="15" hidden="false" customHeight="false" outlineLevel="0" collapsed="false">
      <c r="A149" s="42"/>
      <c r="B149" s="23" t="str">
        <f aca="false">IF($A149="","",TEXT($A149,"ddd"))</f>
        <v/>
      </c>
      <c r="C149" s="20"/>
      <c r="D149" s="20"/>
      <c r="E149" s="23" t="str">
        <f aca="false">IF($A149="","",N($C149)+N($D149))</f>
        <v/>
      </c>
      <c r="F149" s="20"/>
      <c r="G149" s="20"/>
      <c r="H149" s="20"/>
      <c r="I149" s="21"/>
      <c r="J149" s="21"/>
    </row>
    <row r="150" customFormat="false" ht="15" hidden="false" customHeight="false" outlineLevel="0" collapsed="false">
      <c r="A150" s="42"/>
      <c r="B150" s="23" t="str">
        <f aca="false">IF($A150="","",TEXT($A150,"ddd"))</f>
        <v/>
      </c>
      <c r="C150" s="20"/>
      <c r="D150" s="20"/>
      <c r="E150" s="23" t="str">
        <f aca="false">IF($A150="","",N($C150)+N($D150))</f>
        <v/>
      </c>
      <c r="F150" s="20"/>
      <c r="G150" s="20"/>
      <c r="H150" s="20"/>
      <c r="I150" s="21"/>
      <c r="J150" s="21"/>
    </row>
    <row r="151" customFormat="false" ht="15" hidden="false" customHeight="false" outlineLevel="0" collapsed="false">
      <c r="A151" s="42"/>
      <c r="B151" s="23" t="str">
        <f aca="false">IF($A151="","",TEXT($A151,"ddd"))</f>
        <v/>
      </c>
      <c r="C151" s="20"/>
      <c r="D151" s="20"/>
      <c r="E151" s="23" t="str">
        <f aca="false">IF($A151="","",N($C151)+N($D151))</f>
        <v/>
      </c>
      <c r="F151" s="20"/>
      <c r="G151" s="20"/>
      <c r="H151" s="20"/>
      <c r="I151" s="21"/>
      <c r="J151" s="21"/>
    </row>
    <row r="152" customFormat="false" ht="15" hidden="false" customHeight="false" outlineLevel="0" collapsed="false">
      <c r="A152" s="42"/>
      <c r="B152" s="23" t="str">
        <f aca="false">IF($A152="","",TEXT($A152,"ddd"))</f>
        <v/>
      </c>
      <c r="C152" s="20"/>
      <c r="D152" s="20"/>
      <c r="E152" s="23" t="str">
        <f aca="false">IF($A152="","",N($C152)+N($D152))</f>
        <v/>
      </c>
      <c r="F152" s="20"/>
      <c r="G152" s="20"/>
      <c r="H152" s="20"/>
      <c r="I152" s="21"/>
      <c r="J152" s="21"/>
    </row>
    <row r="153" customFormat="false" ht="15" hidden="false" customHeight="false" outlineLevel="0" collapsed="false">
      <c r="A153" s="42"/>
      <c r="B153" s="23" t="str">
        <f aca="false">IF($A153="","",TEXT($A153,"ddd"))</f>
        <v/>
      </c>
      <c r="C153" s="20"/>
      <c r="D153" s="20"/>
      <c r="E153" s="23" t="str">
        <f aca="false">IF($A153="","",N($C153)+N($D153))</f>
        <v/>
      </c>
      <c r="F153" s="20"/>
      <c r="G153" s="20"/>
      <c r="H153" s="20"/>
      <c r="I153" s="21"/>
      <c r="J153" s="21"/>
    </row>
    <row r="154" customFormat="false" ht="15" hidden="false" customHeight="false" outlineLevel="0" collapsed="false">
      <c r="A154" s="42"/>
      <c r="B154" s="23" t="str">
        <f aca="false">IF($A154="","",TEXT($A154,"ddd"))</f>
        <v/>
      </c>
      <c r="C154" s="20"/>
      <c r="D154" s="20"/>
      <c r="E154" s="23" t="str">
        <f aca="false">IF($A154="","",N($C154)+N($D154))</f>
        <v/>
      </c>
      <c r="F154" s="20"/>
      <c r="G154" s="20"/>
      <c r="H154" s="20"/>
      <c r="I154" s="21"/>
      <c r="J154" s="21"/>
    </row>
    <row r="155" customFormat="false" ht="15" hidden="false" customHeight="false" outlineLevel="0" collapsed="false">
      <c r="A155" s="42"/>
      <c r="B155" s="23" t="str">
        <f aca="false">IF($A155="","",TEXT($A155,"ddd"))</f>
        <v/>
      </c>
      <c r="C155" s="20"/>
      <c r="D155" s="20"/>
      <c r="E155" s="23" t="str">
        <f aca="false">IF($A155="","",N($C155)+N($D155))</f>
        <v/>
      </c>
      <c r="F155" s="20"/>
      <c r="G155" s="20"/>
      <c r="H155" s="20"/>
      <c r="I155" s="21"/>
      <c r="J155" s="21"/>
    </row>
    <row r="156" customFormat="false" ht="15" hidden="false" customHeight="false" outlineLevel="0" collapsed="false">
      <c r="A156" s="42"/>
      <c r="B156" s="23" t="str">
        <f aca="false">IF($A156="","",TEXT($A156,"ddd"))</f>
        <v/>
      </c>
      <c r="C156" s="20"/>
      <c r="D156" s="20"/>
      <c r="E156" s="23" t="str">
        <f aca="false">IF($A156="","",N($C156)+N($D156))</f>
        <v/>
      </c>
      <c r="F156" s="20"/>
      <c r="G156" s="20"/>
      <c r="H156" s="20"/>
      <c r="I156" s="21"/>
      <c r="J156" s="21"/>
    </row>
    <row r="157" customFormat="false" ht="15" hidden="false" customHeight="false" outlineLevel="0" collapsed="false">
      <c r="A157" s="42"/>
      <c r="B157" s="23" t="str">
        <f aca="false">IF($A157="","",TEXT($A157,"ddd"))</f>
        <v/>
      </c>
      <c r="C157" s="20"/>
      <c r="D157" s="20"/>
      <c r="E157" s="23" t="str">
        <f aca="false">IF($A157="","",N($C157)+N($D157))</f>
        <v/>
      </c>
      <c r="F157" s="20"/>
      <c r="G157" s="20"/>
      <c r="H157" s="20"/>
      <c r="I157" s="21"/>
      <c r="J157" s="21"/>
    </row>
    <row r="158" customFormat="false" ht="15" hidden="false" customHeight="false" outlineLevel="0" collapsed="false">
      <c r="A158" s="42"/>
      <c r="B158" s="23" t="str">
        <f aca="false">IF($A158="","",TEXT($A158,"ddd"))</f>
        <v/>
      </c>
      <c r="C158" s="20"/>
      <c r="D158" s="20"/>
      <c r="E158" s="23" t="str">
        <f aca="false">IF($A158="","",N($C158)+N($D158))</f>
        <v/>
      </c>
      <c r="F158" s="20"/>
      <c r="G158" s="20"/>
      <c r="H158" s="20"/>
      <c r="I158" s="21"/>
      <c r="J158" s="21"/>
    </row>
    <row r="159" customFormat="false" ht="15" hidden="false" customHeight="false" outlineLevel="0" collapsed="false">
      <c r="A159" s="42"/>
      <c r="B159" s="23" t="str">
        <f aca="false">IF($A159="","",TEXT($A159,"ddd"))</f>
        <v/>
      </c>
      <c r="C159" s="20"/>
      <c r="D159" s="20"/>
      <c r="E159" s="23" t="str">
        <f aca="false">IF($A159="","",N($C159)+N($D159))</f>
        <v/>
      </c>
      <c r="F159" s="20"/>
      <c r="G159" s="20"/>
      <c r="H159" s="20"/>
      <c r="I159" s="21"/>
      <c r="J159" s="21"/>
    </row>
    <row r="160" customFormat="false" ht="15" hidden="false" customHeight="false" outlineLevel="0" collapsed="false">
      <c r="A160" s="42"/>
      <c r="B160" s="23" t="str">
        <f aca="false">IF($A160="","",TEXT($A160,"ddd"))</f>
        <v/>
      </c>
      <c r="C160" s="20"/>
      <c r="D160" s="20"/>
      <c r="E160" s="23" t="str">
        <f aca="false">IF($A160="","",N($C160)+N($D160))</f>
        <v/>
      </c>
      <c r="F160" s="20"/>
      <c r="G160" s="20"/>
      <c r="H160" s="20"/>
      <c r="I160" s="21"/>
      <c r="J160" s="21"/>
    </row>
    <row r="161" customFormat="false" ht="15" hidden="false" customHeight="false" outlineLevel="0" collapsed="false">
      <c r="A161" s="42"/>
      <c r="B161" s="23" t="str">
        <f aca="false">IF($A161="","",TEXT($A161,"ddd"))</f>
        <v/>
      </c>
      <c r="C161" s="20"/>
      <c r="D161" s="20"/>
      <c r="E161" s="23" t="str">
        <f aca="false">IF($A161="","",N($C161)+N($D161))</f>
        <v/>
      </c>
      <c r="F161" s="20"/>
      <c r="G161" s="20"/>
      <c r="H161" s="20"/>
      <c r="I161" s="21"/>
      <c r="J161" s="21"/>
    </row>
    <row r="162" customFormat="false" ht="15" hidden="false" customHeight="false" outlineLevel="0" collapsed="false">
      <c r="A162" s="42"/>
      <c r="B162" s="23" t="str">
        <f aca="false">IF($A162="","",TEXT($A162,"ddd"))</f>
        <v/>
      </c>
      <c r="C162" s="20"/>
      <c r="D162" s="20"/>
      <c r="E162" s="23" t="str">
        <f aca="false">IF($A162="","",N($C162)+N($D162))</f>
        <v/>
      </c>
      <c r="F162" s="20"/>
      <c r="G162" s="20"/>
      <c r="H162" s="20"/>
      <c r="I162" s="21"/>
      <c r="J162" s="21"/>
    </row>
    <row r="163" customFormat="false" ht="15" hidden="false" customHeight="false" outlineLevel="0" collapsed="false">
      <c r="A163" s="42"/>
      <c r="B163" s="23" t="str">
        <f aca="false">IF($A163="","",TEXT($A163,"ddd"))</f>
        <v/>
      </c>
      <c r="C163" s="20"/>
      <c r="D163" s="20"/>
      <c r="E163" s="23" t="str">
        <f aca="false">IF($A163="","",N($C163)+N($D163))</f>
        <v/>
      </c>
      <c r="F163" s="20"/>
      <c r="G163" s="20"/>
      <c r="H163" s="20"/>
      <c r="I163" s="21"/>
      <c r="J163" s="21"/>
    </row>
    <row r="164" customFormat="false" ht="15" hidden="false" customHeight="false" outlineLevel="0" collapsed="false">
      <c r="A164" s="42"/>
      <c r="B164" s="23" t="str">
        <f aca="false">IF($A164="","",TEXT($A164,"ddd"))</f>
        <v/>
      </c>
      <c r="C164" s="20"/>
      <c r="D164" s="20"/>
      <c r="E164" s="23" t="str">
        <f aca="false">IF($A164="","",N($C164)+N($D164))</f>
        <v/>
      </c>
      <c r="F164" s="20"/>
      <c r="G164" s="20"/>
      <c r="H164" s="20"/>
      <c r="I164" s="21"/>
      <c r="J164" s="21"/>
    </row>
    <row r="165" customFormat="false" ht="15" hidden="false" customHeight="false" outlineLevel="0" collapsed="false">
      <c r="A165" s="42"/>
      <c r="B165" s="23" t="str">
        <f aca="false">IF($A165="","",TEXT($A165,"ddd"))</f>
        <v/>
      </c>
      <c r="C165" s="20"/>
      <c r="D165" s="20"/>
      <c r="E165" s="23" t="str">
        <f aca="false">IF($A165="","",N($C165)+N($D165))</f>
        <v/>
      </c>
      <c r="F165" s="20"/>
      <c r="G165" s="20"/>
      <c r="H165" s="20"/>
      <c r="I165" s="21"/>
      <c r="J165" s="21"/>
    </row>
    <row r="166" customFormat="false" ht="15" hidden="false" customHeight="false" outlineLevel="0" collapsed="false">
      <c r="A166" s="42"/>
      <c r="B166" s="23" t="str">
        <f aca="false">IF($A166="","",TEXT($A166,"ddd"))</f>
        <v/>
      </c>
      <c r="C166" s="20"/>
      <c r="D166" s="20"/>
      <c r="E166" s="23" t="str">
        <f aca="false">IF($A166="","",N($C166)+N($D166))</f>
        <v/>
      </c>
      <c r="F166" s="20"/>
      <c r="G166" s="20"/>
      <c r="H166" s="20"/>
      <c r="I166" s="21"/>
      <c r="J166" s="21"/>
    </row>
    <row r="167" customFormat="false" ht="15" hidden="false" customHeight="false" outlineLevel="0" collapsed="false">
      <c r="A167" s="42"/>
      <c r="B167" s="23" t="str">
        <f aca="false">IF($A167="","",TEXT($A167,"ddd"))</f>
        <v/>
      </c>
      <c r="C167" s="20"/>
      <c r="D167" s="20"/>
      <c r="E167" s="23" t="str">
        <f aca="false">IF($A167="","",N($C167)+N($D167))</f>
        <v/>
      </c>
      <c r="F167" s="20"/>
      <c r="G167" s="20"/>
      <c r="H167" s="20"/>
      <c r="I167" s="21"/>
      <c r="J167" s="21"/>
    </row>
    <row r="168" customFormat="false" ht="15" hidden="false" customHeight="false" outlineLevel="0" collapsed="false">
      <c r="A168" s="42"/>
      <c r="B168" s="23" t="str">
        <f aca="false">IF($A168="","",TEXT($A168,"ddd"))</f>
        <v/>
      </c>
      <c r="C168" s="20"/>
      <c r="D168" s="20"/>
      <c r="E168" s="23" t="str">
        <f aca="false">IF($A168="","",N($C168)+N($D168))</f>
        <v/>
      </c>
      <c r="F168" s="20"/>
      <c r="G168" s="20"/>
      <c r="H168" s="20"/>
      <c r="I168" s="21"/>
      <c r="J168" s="21"/>
    </row>
    <row r="169" customFormat="false" ht="15" hidden="false" customHeight="false" outlineLevel="0" collapsed="false">
      <c r="A169" s="42"/>
      <c r="B169" s="23" t="str">
        <f aca="false">IF($A169="","",TEXT($A169,"ddd"))</f>
        <v/>
      </c>
      <c r="C169" s="20"/>
      <c r="D169" s="20"/>
      <c r="E169" s="23" t="str">
        <f aca="false">IF($A169="","",N($C169)+N($D169))</f>
        <v/>
      </c>
      <c r="F169" s="20"/>
      <c r="G169" s="20"/>
      <c r="H169" s="20"/>
      <c r="I169" s="21"/>
      <c r="J169" s="21"/>
    </row>
    <row r="170" customFormat="false" ht="15" hidden="false" customHeight="false" outlineLevel="0" collapsed="false">
      <c r="A170" s="42"/>
      <c r="B170" s="23" t="str">
        <f aca="false">IF($A170="","",TEXT($A170,"ddd"))</f>
        <v/>
      </c>
      <c r="C170" s="20"/>
      <c r="D170" s="20"/>
      <c r="E170" s="23" t="str">
        <f aca="false">IF($A170="","",N($C170)+N($D170))</f>
        <v/>
      </c>
      <c r="F170" s="20"/>
      <c r="G170" s="20"/>
      <c r="H170" s="20"/>
      <c r="I170" s="21"/>
      <c r="J170" s="21"/>
    </row>
    <row r="171" customFormat="false" ht="15" hidden="false" customHeight="false" outlineLevel="0" collapsed="false">
      <c r="A171" s="42"/>
      <c r="B171" s="23" t="str">
        <f aca="false">IF($A171="","",TEXT($A171,"ddd"))</f>
        <v/>
      </c>
      <c r="C171" s="20"/>
      <c r="D171" s="20"/>
      <c r="E171" s="23" t="str">
        <f aca="false">IF($A171="","",N($C171)+N($D171))</f>
        <v/>
      </c>
      <c r="F171" s="20"/>
      <c r="G171" s="20"/>
      <c r="H171" s="20"/>
      <c r="I171" s="21"/>
      <c r="J171" s="21"/>
    </row>
    <row r="172" customFormat="false" ht="15" hidden="false" customHeight="false" outlineLevel="0" collapsed="false">
      <c r="A172" s="42"/>
      <c r="B172" s="23" t="str">
        <f aca="false">IF($A172="","",TEXT($A172,"ddd"))</f>
        <v/>
      </c>
      <c r="C172" s="20"/>
      <c r="D172" s="20"/>
      <c r="E172" s="23" t="str">
        <f aca="false">IF($A172="","",N($C172)+N($D172))</f>
        <v/>
      </c>
      <c r="F172" s="20"/>
      <c r="G172" s="20"/>
      <c r="H172" s="20"/>
      <c r="I172" s="21"/>
      <c r="J172" s="21"/>
    </row>
    <row r="173" customFormat="false" ht="15" hidden="false" customHeight="false" outlineLevel="0" collapsed="false">
      <c r="A173" s="42"/>
      <c r="B173" s="23" t="str">
        <f aca="false">IF($A173="","",TEXT($A173,"ddd"))</f>
        <v/>
      </c>
      <c r="C173" s="20"/>
      <c r="D173" s="20"/>
      <c r="E173" s="23" t="str">
        <f aca="false">IF($A173="","",N($C173)+N($D173))</f>
        <v/>
      </c>
      <c r="F173" s="20"/>
      <c r="G173" s="20"/>
      <c r="H173" s="20"/>
      <c r="I173" s="21"/>
      <c r="J173" s="21"/>
    </row>
    <row r="174" customFormat="false" ht="15" hidden="false" customHeight="false" outlineLevel="0" collapsed="false">
      <c r="A174" s="42"/>
      <c r="B174" s="23" t="str">
        <f aca="false">IF($A174="","",TEXT($A174,"ddd"))</f>
        <v/>
      </c>
      <c r="C174" s="20"/>
      <c r="D174" s="20"/>
      <c r="E174" s="23" t="str">
        <f aca="false">IF($A174="","",N($C174)+N($D174))</f>
        <v/>
      </c>
      <c r="F174" s="20"/>
      <c r="G174" s="20"/>
      <c r="H174" s="20"/>
      <c r="I174" s="21"/>
      <c r="J174" s="21"/>
    </row>
    <row r="175" customFormat="false" ht="15" hidden="false" customHeight="false" outlineLevel="0" collapsed="false">
      <c r="A175" s="42"/>
      <c r="B175" s="23" t="str">
        <f aca="false">IF($A175="","",TEXT($A175,"ddd"))</f>
        <v/>
      </c>
      <c r="C175" s="20"/>
      <c r="D175" s="20"/>
      <c r="E175" s="23" t="str">
        <f aca="false">IF($A175="","",N($C175)+N($D175))</f>
        <v/>
      </c>
      <c r="F175" s="20"/>
      <c r="G175" s="20"/>
      <c r="H175" s="20"/>
      <c r="I175" s="21"/>
      <c r="J175" s="21"/>
    </row>
    <row r="176" customFormat="false" ht="15" hidden="false" customHeight="false" outlineLevel="0" collapsed="false">
      <c r="A176" s="42"/>
      <c r="B176" s="23" t="str">
        <f aca="false">IF($A176="","",TEXT($A176,"ddd"))</f>
        <v/>
      </c>
      <c r="C176" s="20"/>
      <c r="D176" s="20"/>
      <c r="E176" s="23" t="str">
        <f aca="false">IF($A176="","",N($C176)+N($D176))</f>
        <v/>
      </c>
      <c r="F176" s="20"/>
      <c r="G176" s="20"/>
      <c r="H176" s="20"/>
      <c r="I176" s="21"/>
      <c r="J176" s="21"/>
    </row>
    <row r="177" customFormat="false" ht="15" hidden="false" customHeight="false" outlineLevel="0" collapsed="false">
      <c r="A177" s="42"/>
      <c r="B177" s="23" t="str">
        <f aca="false">IF($A177="","",TEXT($A177,"ddd"))</f>
        <v/>
      </c>
      <c r="C177" s="20"/>
      <c r="D177" s="20"/>
      <c r="E177" s="23" t="str">
        <f aca="false">IF($A177="","",N($C177)+N($D177))</f>
        <v/>
      </c>
      <c r="F177" s="20"/>
      <c r="G177" s="20"/>
      <c r="H177" s="20"/>
      <c r="I177" s="21"/>
      <c r="J177" s="21"/>
    </row>
    <row r="178" customFormat="false" ht="15" hidden="false" customHeight="false" outlineLevel="0" collapsed="false">
      <c r="A178" s="42"/>
      <c r="B178" s="23" t="str">
        <f aca="false">IF($A178="","",TEXT($A178,"ddd"))</f>
        <v/>
      </c>
      <c r="C178" s="20"/>
      <c r="D178" s="20"/>
      <c r="E178" s="23" t="str">
        <f aca="false">IF($A178="","",N($C178)+N($D178))</f>
        <v/>
      </c>
      <c r="F178" s="20"/>
      <c r="G178" s="20"/>
      <c r="H178" s="20"/>
      <c r="I178" s="21"/>
      <c r="J178" s="21"/>
    </row>
    <row r="179" customFormat="false" ht="15" hidden="false" customHeight="false" outlineLevel="0" collapsed="false">
      <c r="A179" s="42"/>
      <c r="B179" s="23" t="str">
        <f aca="false">IF($A179="","",TEXT($A179,"ddd"))</f>
        <v/>
      </c>
      <c r="C179" s="20"/>
      <c r="D179" s="20"/>
      <c r="E179" s="23" t="str">
        <f aca="false">IF($A179="","",N($C179)+N($D179))</f>
        <v/>
      </c>
      <c r="F179" s="20"/>
      <c r="G179" s="20"/>
      <c r="H179" s="20"/>
      <c r="I179" s="21"/>
      <c r="J179" s="21"/>
    </row>
    <row r="180" customFormat="false" ht="15" hidden="false" customHeight="false" outlineLevel="0" collapsed="false">
      <c r="A180" s="42"/>
      <c r="B180" s="23" t="str">
        <f aca="false">IF($A180="","",TEXT($A180,"ddd"))</f>
        <v/>
      </c>
      <c r="C180" s="20"/>
      <c r="D180" s="20"/>
      <c r="E180" s="23" t="str">
        <f aca="false">IF($A180="","",N($C180)+N($D180))</f>
        <v/>
      </c>
      <c r="F180" s="20"/>
      <c r="G180" s="20"/>
      <c r="H180" s="20"/>
      <c r="I180" s="21"/>
      <c r="J180" s="21"/>
    </row>
    <row r="181" customFormat="false" ht="15" hidden="false" customHeight="false" outlineLevel="0" collapsed="false">
      <c r="A181" s="42"/>
      <c r="B181" s="23" t="str">
        <f aca="false">IF($A181="","",TEXT($A181,"ddd"))</f>
        <v/>
      </c>
      <c r="C181" s="20"/>
      <c r="D181" s="20"/>
      <c r="E181" s="23" t="str">
        <f aca="false">IF($A181="","",N($C181)+N($D181))</f>
        <v/>
      </c>
      <c r="F181" s="20"/>
      <c r="G181" s="20"/>
      <c r="H181" s="20"/>
      <c r="I181" s="21"/>
      <c r="J181" s="21"/>
    </row>
    <row r="182" customFormat="false" ht="15" hidden="false" customHeight="false" outlineLevel="0" collapsed="false">
      <c r="A182" s="42"/>
      <c r="B182" s="23" t="str">
        <f aca="false">IF($A182="","",TEXT($A182,"ddd"))</f>
        <v/>
      </c>
      <c r="C182" s="20"/>
      <c r="D182" s="20"/>
      <c r="E182" s="23" t="str">
        <f aca="false">IF($A182="","",N($C182)+N($D182))</f>
        <v/>
      </c>
      <c r="F182" s="20"/>
      <c r="G182" s="20"/>
      <c r="H182" s="20"/>
      <c r="I182" s="21"/>
      <c r="J182" s="21"/>
    </row>
    <row r="183" customFormat="false" ht="15" hidden="false" customHeight="false" outlineLevel="0" collapsed="false">
      <c r="A183" s="42"/>
      <c r="B183" s="23" t="str">
        <f aca="false">IF($A183="","",TEXT($A183,"ddd"))</f>
        <v/>
      </c>
      <c r="C183" s="20"/>
      <c r="D183" s="20"/>
      <c r="E183" s="23" t="str">
        <f aca="false">IF($A183="","",N($C183)+N($D183))</f>
        <v/>
      </c>
      <c r="F183" s="20"/>
      <c r="G183" s="20"/>
      <c r="H183" s="20"/>
      <c r="I183" s="21"/>
      <c r="J183" s="21"/>
    </row>
    <row r="184" customFormat="false" ht="15" hidden="false" customHeight="false" outlineLevel="0" collapsed="false">
      <c r="A184" s="42"/>
      <c r="B184" s="23" t="str">
        <f aca="false">IF($A184="","",TEXT($A184,"ddd"))</f>
        <v/>
      </c>
      <c r="C184" s="20"/>
      <c r="D184" s="20"/>
      <c r="E184" s="23" t="str">
        <f aca="false">IF($A184="","",N($C184)+N($D184))</f>
        <v/>
      </c>
      <c r="F184" s="20"/>
      <c r="G184" s="20"/>
      <c r="H184" s="20"/>
      <c r="I184" s="21"/>
      <c r="J184" s="21"/>
    </row>
    <row r="185" customFormat="false" ht="15" hidden="false" customHeight="false" outlineLevel="0" collapsed="false">
      <c r="A185" s="42"/>
      <c r="B185" s="23" t="str">
        <f aca="false">IF($A185="","",TEXT($A185,"ddd"))</f>
        <v/>
      </c>
      <c r="C185" s="20"/>
      <c r="D185" s="20"/>
      <c r="E185" s="23" t="str">
        <f aca="false">IF($A185="","",N($C185)+N($D185))</f>
        <v/>
      </c>
      <c r="F185" s="20"/>
      <c r="G185" s="20"/>
      <c r="H185" s="20"/>
      <c r="I185" s="21"/>
      <c r="J185" s="21"/>
    </row>
    <row r="186" customFormat="false" ht="15" hidden="false" customHeight="false" outlineLevel="0" collapsed="false">
      <c r="A186" s="42"/>
      <c r="B186" s="23" t="str">
        <f aca="false">IF($A186="","",TEXT($A186,"ddd"))</f>
        <v/>
      </c>
      <c r="C186" s="20"/>
      <c r="D186" s="20"/>
      <c r="E186" s="23" t="str">
        <f aca="false">IF($A186="","",N($C186)+N($D186))</f>
        <v/>
      </c>
      <c r="F186" s="20"/>
      <c r="G186" s="20"/>
      <c r="H186" s="20"/>
      <c r="I186" s="21"/>
      <c r="J186" s="21"/>
    </row>
    <row r="187" customFormat="false" ht="15" hidden="false" customHeight="false" outlineLevel="0" collapsed="false">
      <c r="A187" s="42"/>
      <c r="B187" s="23" t="str">
        <f aca="false">IF($A187="","",TEXT($A187,"ddd"))</f>
        <v/>
      </c>
      <c r="C187" s="20"/>
      <c r="D187" s="20"/>
      <c r="E187" s="23" t="str">
        <f aca="false">IF($A187="","",N($C187)+N($D187))</f>
        <v/>
      </c>
      <c r="F187" s="20"/>
      <c r="G187" s="20"/>
      <c r="H187" s="20"/>
      <c r="I187" s="21"/>
      <c r="J187" s="21"/>
    </row>
    <row r="188" customFormat="false" ht="15" hidden="false" customHeight="false" outlineLevel="0" collapsed="false">
      <c r="A188" s="42"/>
      <c r="B188" s="23" t="str">
        <f aca="false">IF($A188="","",TEXT($A188,"ddd"))</f>
        <v/>
      </c>
      <c r="C188" s="20"/>
      <c r="D188" s="20"/>
      <c r="E188" s="23" t="str">
        <f aca="false">IF($A188="","",N($C188)+N($D188))</f>
        <v/>
      </c>
      <c r="F188" s="20"/>
      <c r="G188" s="20"/>
      <c r="H188" s="20"/>
      <c r="I188" s="21"/>
      <c r="J188" s="21"/>
    </row>
    <row r="189" customFormat="false" ht="15" hidden="false" customHeight="false" outlineLevel="0" collapsed="false">
      <c r="A189" s="42"/>
      <c r="B189" s="23" t="str">
        <f aca="false">IF($A189="","",TEXT($A189,"ddd"))</f>
        <v/>
      </c>
      <c r="C189" s="20"/>
      <c r="D189" s="20"/>
      <c r="E189" s="23" t="str">
        <f aca="false">IF($A189="","",N($C189)+N($D189))</f>
        <v/>
      </c>
      <c r="F189" s="20"/>
      <c r="G189" s="20"/>
      <c r="H189" s="20"/>
      <c r="I189" s="21"/>
      <c r="J189" s="21"/>
    </row>
    <row r="190" customFormat="false" ht="15" hidden="false" customHeight="false" outlineLevel="0" collapsed="false">
      <c r="A190" s="42"/>
      <c r="B190" s="23" t="str">
        <f aca="false">IF($A190="","",TEXT($A190,"ddd"))</f>
        <v/>
      </c>
      <c r="C190" s="20"/>
      <c r="D190" s="20"/>
      <c r="E190" s="23" t="str">
        <f aca="false">IF($A190="","",N($C190)+N($D190))</f>
        <v/>
      </c>
      <c r="F190" s="20"/>
      <c r="G190" s="20"/>
      <c r="H190" s="20"/>
      <c r="I190" s="21"/>
      <c r="J190" s="21"/>
    </row>
    <row r="191" customFormat="false" ht="15" hidden="false" customHeight="false" outlineLevel="0" collapsed="false">
      <c r="A191" s="42"/>
      <c r="B191" s="23" t="str">
        <f aca="false">IF($A191="","",TEXT($A191,"ddd"))</f>
        <v/>
      </c>
      <c r="C191" s="20"/>
      <c r="D191" s="20"/>
      <c r="E191" s="23" t="str">
        <f aca="false">IF($A191="","",N($C191)+N($D191))</f>
        <v/>
      </c>
      <c r="F191" s="20"/>
      <c r="G191" s="20"/>
      <c r="H191" s="20"/>
      <c r="I191" s="21"/>
      <c r="J191" s="21"/>
    </row>
    <row r="192" customFormat="false" ht="15" hidden="false" customHeight="false" outlineLevel="0" collapsed="false">
      <c r="A192" s="42"/>
      <c r="B192" s="23" t="str">
        <f aca="false">IF($A192="","",TEXT($A192,"ddd"))</f>
        <v/>
      </c>
      <c r="C192" s="20"/>
      <c r="D192" s="20"/>
      <c r="E192" s="23" t="str">
        <f aca="false">IF($A192="","",N($C192)+N($D192))</f>
        <v/>
      </c>
      <c r="F192" s="20"/>
      <c r="G192" s="20"/>
      <c r="H192" s="20"/>
      <c r="I192" s="21"/>
      <c r="J192" s="21"/>
    </row>
    <row r="193" customFormat="false" ht="15" hidden="false" customHeight="false" outlineLevel="0" collapsed="false">
      <c r="A193" s="42"/>
      <c r="B193" s="23" t="str">
        <f aca="false">IF($A193="","",TEXT($A193,"ddd"))</f>
        <v/>
      </c>
      <c r="C193" s="20"/>
      <c r="D193" s="20"/>
      <c r="E193" s="23" t="str">
        <f aca="false">IF($A193="","",N($C193)+N($D193))</f>
        <v/>
      </c>
      <c r="F193" s="20"/>
      <c r="G193" s="20"/>
      <c r="H193" s="20"/>
      <c r="I193" s="21"/>
      <c r="J193" s="21"/>
    </row>
    <row r="194" customFormat="false" ht="15" hidden="false" customHeight="false" outlineLevel="0" collapsed="false">
      <c r="A194" s="42"/>
      <c r="B194" s="23" t="str">
        <f aca="false">IF($A194="","",TEXT($A194,"ddd"))</f>
        <v/>
      </c>
      <c r="C194" s="20"/>
      <c r="D194" s="20"/>
      <c r="E194" s="23" t="str">
        <f aca="false">IF($A194="","",N($C194)+N($D194))</f>
        <v/>
      </c>
      <c r="F194" s="20"/>
      <c r="G194" s="20"/>
      <c r="H194" s="20"/>
      <c r="I194" s="21"/>
      <c r="J194" s="21"/>
    </row>
    <row r="195" customFormat="false" ht="15" hidden="false" customHeight="false" outlineLevel="0" collapsed="false">
      <c r="A195" s="42"/>
      <c r="B195" s="23" t="str">
        <f aca="false">IF($A195="","",TEXT($A195,"ddd"))</f>
        <v/>
      </c>
      <c r="C195" s="20"/>
      <c r="D195" s="20"/>
      <c r="E195" s="23" t="str">
        <f aca="false">IF($A195="","",N($C195)+N($D195))</f>
        <v/>
      </c>
      <c r="F195" s="20"/>
      <c r="G195" s="20"/>
      <c r="H195" s="20"/>
      <c r="I195" s="21"/>
      <c r="J195" s="21"/>
    </row>
    <row r="196" customFormat="false" ht="15" hidden="false" customHeight="false" outlineLevel="0" collapsed="false">
      <c r="A196" s="42"/>
      <c r="B196" s="23" t="str">
        <f aca="false">IF($A196="","",TEXT($A196,"ddd"))</f>
        <v/>
      </c>
      <c r="C196" s="20"/>
      <c r="D196" s="20"/>
      <c r="E196" s="23" t="str">
        <f aca="false">IF($A196="","",N($C196)+N($D196))</f>
        <v/>
      </c>
      <c r="F196" s="20"/>
      <c r="G196" s="20"/>
      <c r="H196" s="20"/>
      <c r="I196" s="21"/>
      <c r="J196" s="21"/>
    </row>
    <row r="197" customFormat="false" ht="15" hidden="false" customHeight="false" outlineLevel="0" collapsed="false">
      <c r="A197" s="42"/>
      <c r="B197" s="23" t="str">
        <f aca="false">IF($A197="","",TEXT($A197,"ddd"))</f>
        <v/>
      </c>
      <c r="C197" s="20"/>
      <c r="D197" s="20"/>
      <c r="E197" s="23" t="str">
        <f aca="false">IF($A197="","",N($C197)+N($D197))</f>
        <v/>
      </c>
      <c r="F197" s="20"/>
      <c r="G197" s="20"/>
      <c r="H197" s="20"/>
      <c r="I197" s="21"/>
      <c r="J197" s="21"/>
    </row>
    <row r="198" customFormat="false" ht="15" hidden="false" customHeight="false" outlineLevel="0" collapsed="false">
      <c r="A198" s="42"/>
      <c r="B198" s="23" t="str">
        <f aca="false">IF($A198="","",TEXT($A198,"ddd"))</f>
        <v/>
      </c>
      <c r="C198" s="20"/>
      <c r="D198" s="20"/>
      <c r="E198" s="23" t="str">
        <f aca="false">IF($A198="","",N($C198)+N($D198))</f>
        <v/>
      </c>
      <c r="F198" s="20"/>
      <c r="G198" s="20"/>
      <c r="H198" s="20"/>
      <c r="I198" s="21"/>
      <c r="J198" s="21"/>
    </row>
    <row r="199" customFormat="false" ht="15" hidden="false" customHeight="false" outlineLevel="0" collapsed="false">
      <c r="A199" s="42"/>
      <c r="B199" s="23" t="str">
        <f aca="false">IF($A199="","",TEXT($A199,"ddd"))</f>
        <v/>
      </c>
      <c r="C199" s="20"/>
      <c r="D199" s="20"/>
      <c r="E199" s="23" t="str">
        <f aca="false">IF($A199="","",N($C199)+N($D199))</f>
        <v/>
      </c>
      <c r="F199" s="20"/>
      <c r="G199" s="20"/>
      <c r="H199" s="20"/>
      <c r="I199" s="21"/>
      <c r="J199" s="21"/>
    </row>
    <row r="200" customFormat="false" ht="15" hidden="false" customHeight="false" outlineLevel="0" collapsed="false">
      <c r="A200" s="42"/>
      <c r="B200" s="23" t="str">
        <f aca="false">IF($A200="","",TEXT($A200,"ddd"))</f>
        <v/>
      </c>
      <c r="C200" s="20"/>
      <c r="D200" s="20"/>
      <c r="E200" s="23" t="str">
        <f aca="false">IF($A200="","",N($C200)+N($D200))</f>
        <v/>
      </c>
      <c r="F200" s="20"/>
      <c r="G200" s="20"/>
      <c r="H200" s="20"/>
      <c r="I200" s="21"/>
      <c r="J200" s="21"/>
    </row>
    <row r="201" customFormat="false" ht="15" hidden="false" customHeight="false" outlineLevel="0" collapsed="false">
      <c r="A201" s="42"/>
      <c r="B201" s="23" t="str">
        <f aca="false">IF($A201="","",TEXT($A201,"ddd"))</f>
        <v/>
      </c>
      <c r="C201" s="20"/>
      <c r="D201" s="20"/>
      <c r="E201" s="23" t="str">
        <f aca="false">IF($A201="","",N($C201)+N($D201))</f>
        <v/>
      </c>
      <c r="F201" s="20"/>
      <c r="G201" s="20"/>
      <c r="H201" s="20"/>
      <c r="I201" s="21"/>
      <c r="J201" s="21"/>
    </row>
    <row r="202" customFormat="false" ht="15" hidden="false" customHeight="false" outlineLevel="0" collapsed="false">
      <c r="A202" s="42"/>
      <c r="B202" s="23" t="str">
        <f aca="false">IF($A202="","",TEXT($A202,"ddd"))</f>
        <v/>
      </c>
      <c r="C202" s="20"/>
      <c r="D202" s="20"/>
      <c r="E202" s="23" t="str">
        <f aca="false">IF($A202="","",N($C202)+N($D202))</f>
        <v/>
      </c>
      <c r="F202" s="20"/>
      <c r="G202" s="20"/>
      <c r="H202" s="20"/>
      <c r="I202" s="21"/>
      <c r="J202" s="21"/>
    </row>
    <row r="203" customFormat="false" ht="15" hidden="false" customHeight="false" outlineLevel="0" collapsed="false">
      <c r="A203" s="42"/>
      <c r="B203" s="23" t="str">
        <f aca="false">IF($A203="","",TEXT($A203,"ddd"))</f>
        <v/>
      </c>
      <c r="C203" s="20"/>
      <c r="D203" s="20"/>
      <c r="E203" s="23" t="str">
        <f aca="false">IF($A203="","",N($C203)+N($D203))</f>
        <v/>
      </c>
      <c r="F203" s="20"/>
      <c r="G203" s="20"/>
      <c r="H203" s="20"/>
      <c r="I203" s="21"/>
      <c r="J203" s="21"/>
    </row>
    <row r="204" customFormat="false" ht="15" hidden="false" customHeight="false" outlineLevel="0" collapsed="false">
      <c r="A204" s="42"/>
      <c r="B204" s="23" t="str">
        <f aca="false">IF($A204="","",TEXT($A204,"ddd"))</f>
        <v/>
      </c>
      <c r="C204" s="20"/>
      <c r="D204" s="20"/>
      <c r="E204" s="23" t="str">
        <f aca="false">IF($A204="","",N($C204)+N($D204))</f>
        <v/>
      </c>
      <c r="F204" s="20"/>
      <c r="G204" s="20"/>
      <c r="H204" s="20"/>
      <c r="I204" s="21"/>
      <c r="J204" s="21"/>
    </row>
    <row r="205" customFormat="false" ht="15" hidden="false" customHeight="false" outlineLevel="0" collapsed="false">
      <c r="A205" s="42"/>
      <c r="B205" s="23" t="str">
        <f aca="false">IF($A205="","",TEXT($A205,"ddd"))</f>
        <v/>
      </c>
      <c r="C205" s="20"/>
      <c r="D205" s="20"/>
      <c r="E205" s="23" t="str">
        <f aca="false">IF($A205="","",N($C205)+N($D205))</f>
        <v/>
      </c>
      <c r="F205" s="20"/>
      <c r="G205" s="20"/>
      <c r="H205" s="20"/>
      <c r="I205" s="21"/>
      <c r="J205" s="21"/>
    </row>
    <row r="206" customFormat="false" ht="15" hidden="false" customHeight="false" outlineLevel="0" collapsed="false">
      <c r="A206" s="42"/>
      <c r="B206" s="23" t="str">
        <f aca="false">IF($A206="","",TEXT($A206,"ddd"))</f>
        <v/>
      </c>
      <c r="C206" s="20"/>
      <c r="D206" s="20"/>
      <c r="E206" s="23" t="str">
        <f aca="false">IF($A206="","",N($C206)+N($D206))</f>
        <v/>
      </c>
      <c r="F206" s="20"/>
      <c r="G206" s="20"/>
      <c r="H206" s="20"/>
      <c r="I206" s="21"/>
      <c r="J206" s="21"/>
    </row>
    <row r="207" customFormat="false" ht="15" hidden="false" customHeight="false" outlineLevel="0" collapsed="false">
      <c r="A207" s="42"/>
      <c r="B207" s="23" t="str">
        <f aca="false">IF($A207="","",TEXT($A207,"ddd"))</f>
        <v/>
      </c>
      <c r="C207" s="20"/>
      <c r="D207" s="20"/>
      <c r="E207" s="23" t="str">
        <f aca="false">IF($A207="","",N($C207)+N($D207))</f>
        <v/>
      </c>
      <c r="F207" s="20"/>
      <c r="G207" s="20"/>
      <c r="H207" s="20"/>
      <c r="I207" s="21"/>
      <c r="J207" s="21"/>
    </row>
    <row r="208" customFormat="false" ht="15" hidden="false" customHeight="false" outlineLevel="0" collapsed="false">
      <c r="A208" s="42"/>
      <c r="B208" s="23" t="str">
        <f aca="false">IF($A208="","",TEXT($A208,"ddd"))</f>
        <v/>
      </c>
      <c r="C208" s="20"/>
      <c r="D208" s="20"/>
      <c r="E208" s="23" t="str">
        <f aca="false">IF($A208="","",N($C208)+N($D208))</f>
        <v/>
      </c>
      <c r="F208" s="20"/>
      <c r="G208" s="20"/>
      <c r="H208" s="20"/>
      <c r="I208" s="21"/>
      <c r="J208" s="21"/>
    </row>
    <row r="209" customFormat="false" ht="15" hidden="false" customHeight="false" outlineLevel="0" collapsed="false">
      <c r="A209" s="42"/>
      <c r="B209" s="23" t="str">
        <f aca="false">IF($A209="","",TEXT($A209,"ddd"))</f>
        <v/>
      </c>
      <c r="C209" s="20"/>
      <c r="D209" s="20"/>
      <c r="E209" s="23" t="str">
        <f aca="false">IF($A209="","",N($C209)+N($D209))</f>
        <v/>
      </c>
      <c r="F209" s="20"/>
      <c r="G209" s="20"/>
      <c r="H209" s="20"/>
      <c r="I209" s="21"/>
      <c r="J209" s="21"/>
    </row>
    <row r="210" customFormat="false" ht="15" hidden="false" customHeight="false" outlineLevel="0" collapsed="false">
      <c r="A210" s="42"/>
      <c r="B210" s="23" t="str">
        <f aca="false">IF($A210="","",TEXT($A210,"ddd"))</f>
        <v/>
      </c>
      <c r="C210" s="20"/>
      <c r="D210" s="20"/>
      <c r="E210" s="23" t="str">
        <f aca="false">IF($A210="","",N($C210)+N($D210))</f>
        <v/>
      </c>
      <c r="F210" s="20"/>
      <c r="G210" s="20"/>
      <c r="H210" s="20"/>
      <c r="I210" s="21"/>
      <c r="J210" s="21"/>
    </row>
    <row r="211" customFormat="false" ht="15" hidden="false" customHeight="false" outlineLevel="0" collapsed="false">
      <c r="A211" s="42"/>
      <c r="B211" s="23" t="str">
        <f aca="false">IF($A211="","",TEXT($A211,"ddd"))</f>
        <v/>
      </c>
      <c r="C211" s="20"/>
      <c r="D211" s="20"/>
      <c r="E211" s="23" t="str">
        <f aca="false">IF($A211="","",N($C211)+N($D211))</f>
        <v/>
      </c>
      <c r="F211" s="20"/>
      <c r="G211" s="20"/>
      <c r="H211" s="20"/>
      <c r="I211" s="21"/>
      <c r="J211" s="21"/>
    </row>
    <row r="212" customFormat="false" ht="15" hidden="false" customHeight="false" outlineLevel="0" collapsed="false">
      <c r="A212" s="42"/>
      <c r="B212" s="23" t="str">
        <f aca="false">IF($A212="","",TEXT($A212,"ddd"))</f>
        <v/>
      </c>
      <c r="C212" s="20"/>
      <c r="D212" s="20"/>
      <c r="E212" s="23" t="str">
        <f aca="false">IF($A212="","",N($C212)+N($D212))</f>
        <v/>
      </c>
      <c r="F212" s="20"/>
      <c r="G212" s="20"/>
      <c r="H212" s="20"/>
      <c r="I212" s="21"/>
      <c r="J212" s="21"/>
    </row>
    <row r="213" customFormat="false" ht="15" hidden="false" customHeight="false" outlineLevel="0" collapsed="false">
      <c r="A213" s="42"/>
      <c r="B213" s="23" t="str">
        <f aca="false">IF($A213="","",TEXT($A213,"ddd"))</f>
        <v/>
      </c>
      <c r="C213" s="20"/>
      <c r="D213" s="20"/>
      <c r="E213" s="23" t="str">
        <f aca="false">IF($A213="","",N($C213)+N($D213))</f>
        <v/>
      </c>
      <c r="F213" s="20"/>
      <c r="G213" s="20"/>
      <c r="H213" s="20"/>
      <c r="I213" s="21"/>
      <c r="J213" s="21"/>
    </row>
    <row r="214" customFormat="false" ht="15" hidden="false" customHeight="false" outlineLevel="0" collapsed="false">
      <c r="A214" s="42"/>
      <c r="B214" s="23" t="str">
        <f aca="false">IF($A214="","",TEXT($A214,"ddd"))</f>
        <v/>
      </c>
      <c r="C214" s="20"/>
      <c r="D214" s="20"/>
      <c r="E214" s="23" t="str">
        <f aca="false">IF($A214="","",N($C214)+N($D214))</f>
        <v/>
      </c>
      <c r="F214" s="20"/>
      <c r="G214" s="20"/>
      <c r="H214" s="20"/>
      <c r="I214" s="21"/>
      <c r="J214" s="21"/>
    </row>
    <row r="215" customFormat="false" ht="15" hidden="false" customHeight="false" outlineLevel="0" collapsed="false">
      <c r="A215" s="42"/>
      <c r="B215" s="23" t="str">
        <f aca="false">IF($A215="","",TEXT($A215,"ddd"))</f>
        <v/>
      </c>
      <c r="C215" s="20"/>
      <c r="D215" s="20"/>
      <c r="E215" s="23" t="str">
        <f aca="false">IF($A215="","",N($C215)+N($D215))</f>
        <v/>
      </c>
      <c r="F215" s="20"/>
      <c r="G215" s="20"/>
      <c r="H215" s="20"/>
      <c r="I215" s="21"/>
      <c r="J215" s="21"/>
    </row>
    <row r="216" customFormat="false" ht="15" hidden="false" customHeight="false" outlineLevel="0" collapsed="false">
      <c r="A216" s="42"/>
      <c r="B216" s="23" t="str">
        <f aca="false">IF($A216="","",TEXT($A216,"ddd"))</f>
        <v/>
      </c>
      <c r="C216" s="20"/>
      <c r="D216" s="20"/>
      <c r="E216" s="23" t="str">
        <f aca="false">IF($A216="","",N($C216)+N($D216))</f>
        <v/>
      </c>
      <c r="F216" s="20"/>
      <c r="G216" s="20"/>
      <c r="H216" s="20"/>
      <c r="I216" s="21"/>
      <c r="J216" s="21"/>
    </row>
    <row r="217" customFormat="false" ht="15" hidden="false" customHeight="false" outlineLevel="0" collapsed="false">
      <c r="A217" s="42"/>
      <c r="B217" s="23" t="str">
        <f aca="false">IF($A217="","",TEXT($A217,"ddd"))</f>
        <v/>
      </c>
      <c r="C217" s="20"/>
      <c r="D217" s="20"/>
      <c r="E217" s="23" t="str">
        <f aca="false">IF($A217="","",N($C217)+N($D217))</f>
        <v/>
      </c>
      <c r="F217" s="20"/>
      <c r="G217" s="20"/>
      <c r="H217" s="20"/>
      <c r="I217" s="21"/>
      <c r="J217" s="21"/>
    </row>
    <row r="218" customFormat="false" ht="15" hidden="false" customHeight="false" outlineLevel="0" collapsed="false">
      <c r="A218" s="42"/>
      <c r="B218" s="23" t="str">
        <f aca="false">IF($A218="","",TEXT($A218,"ddd"))</f>
        <v/>
      </c>
      <c r="C218" s="20"/>
      <c r="D218" s="20"/>
      <c r="E218" s="23" t="str">
        <f aca="false">IF($A218="","",N($C218)+N($D218))</f>
        <v/>
      </c>
      <c r="F218" s="20"/>
      <c r="G218" s="20"/>
      <c r="H218" s="20"/>
      <c r="I218" s="21"/>
      <c r="J218" s="21"/>
    </row>
    <row r="219" customFormat="false" ht="15" hidden="false" customHeight="false" outlineLevel="0" collapsed="false">
      <c r="A219" s="42"/>
      <c r="B219" s="23" t="str">
        <f aca="false">IF($A219="","",TEXT($A219,"ddd"))</f>
        <v/>
      </c>
      <c r="C219" s="20"/>
      <c r="D219" s="20"/>
      <c r="E219" s="23" t="str">
        <f aca="false">IF($A219="","",N($C219)+N($D219))</f>
        <v/>
      </c>
      <c r="F219" s="20"/>
      <c r="G219" s="20"/>
      <c r="H219" s="20"/>
      <c r="I219" s="21"/>
      <c r="J219" s="21"/>
    </row>
    <row r="220" customFormat="false" ht="15" hidden="false" customHeight="false" outlineLevel="0" collapsed="false">
      <c r="A220" s="42"/>
      <c r="B220" s="23" t="str">
        <f aca="false">IF($A220="","",TEXT($A220,"ddd"))</f>
        <v/>
      </c>
      <c r="C220" s="20"/>
      <c r="D220" s="20"/>
      <c r="E220" s="23" t="str">
        <f aca="false">IF($A220="","",N($C220)+N($D220))</f>
        <v/>
      </c>
      <c r="F220" s="20"/>
      <c r="G220" s="20"/>
      <c r="H220" s="20"/>
      <c r="I220" s="21"/>
      <c r="J220" s="21"/>
    </row>
    <row r="221" customFormat="false" ht="15" hidden="false" customHeight="false" outlineLevel="0" collapsed="false">
      <c r="A221" s="42"/>
      <c r="B221" s="23" t="str">
        <f aca="false">IF($A221="","",TEXT($A221,"ddd"))</f>
        <v/>
      </c>
      <c r="C221" s="20"/>
      <c r="D221" s="20"/>
      <c r="E221" s="23" t="str">
        <f aca="false">IF($A221="","",N($C221)+N($D221))</f>
        <v/>
      </c>
      <c r="F221" s="20"/>
      <c r="G221" s="20"/>
      <c r="H221" s="20"/>
      <c r="I221" s="21"/>
      <c r="J221" s="21"/>
    </row>
    <row r="222" customFormat="false" ht="15" hidden="false" customHeight="false" outlineLevel="0" collapsed="false">
      <c r="A222" s="42"/>
      <c r="B222" s="23" t="str">
        <f aca="false">IF($A222="","",TEXT($A222,"ddd"))</f>
        <v/>
      </c>
      <c r="C222" s="20"/>
      <c r="D222" s="20"/>
      <c r="E222" s="23" t="str">
        <f aca="false">IF($A222="","",N($C222)+N($D222))</f>
        <v/>
      </c>
      <c r="F222" s="20"/>
      <c r="G222" s="20"/>
      <c r="H222" s="20"/>
      <c r="I222" s="21"/>
      <c r="J222" s="21"/>
    </row>
    <row r="223" customFormat="false" ht="15" hidden="false" customHeight="false" outlineLevel="0" collapsed="false">
      <c r="A223" s="42"/>
      <c r="B223" s="23" t="str">
        <f aca="false">IF($A223="","",TEXT($A223,"ddd"))</f>
        <v/>
      </c>
      <c r="C223" s="20"/>
      <c r="D223" s="20"/>
      <c r="E223" s="23" t="str">
        <f aca="false">IF($A223="","",N($C223)+N($D223))</f>
        <v/>
      </c>
      <c r="F223" s="20"/>
      <c r="G223" s="20"/>
      <c r="H223" s="20"/>
      <c r="I223" s="21"/>
      <c r="J223" s="21"/>
    </row>
    <row r="224" customFormat="false" ht="15" hidden="false" customHeight="false" outlineLevel="0" collapsed="false">
      <c r="A224" s="42"/>
      <c r="B224" s="23" t="str">
        <f aca="false">IF($A224="","",TEXT($A224,"ddd"))</f>
        <v/>
      </c>
      <c r="C224" s="20"/>
      <c r="D224" s="20"/>
      <c r="E224" s="23" t="str">
        <f aca="false">IF($A224="","",N($C224)+N($D224))</f>
        <v/>
      </c>
      <c r="F224" s="20"/>
      <c r="G224" s="20"/>
      <c r="H224" s="20"/>
      <c r="I224" s="21"/>
      <c r="J224" s="21"/>
    </row>
    <row r="225" customFormat="false" ht="15" hidden="false" customHeight="false" outlineLevel="0" collapsed="false">
      <c r="A225" s="42"/>
      <c r="B225" s="23" t="str">
        <f aca="false">IF($A225="","",TEXT($A225,"ddd"))</f>
        <v/>
      </c>
      <c r="C225" s="20"/>
      <c r="D225" s="20"/>
      <c r="E225" s="23" t="str">
        <f aca="false">IF($A225="","",N($C225)+N($D225))</f>
        <v/>
      </c>
      <c r="F225" s="20"/>
      <c r="G225" s="20"/>
      <c r="H225" s="20"/>
      <c r="I225" s="21"/>
      <c r="J225" s="21"/>
    </row>
    <row r="226" customFormat="false" ht="15" hidden="false" customHeight="false" outlineLevel="0" collapsed="false">
      <c r="A226" s="42"/>
      <c r="B226" s="23" t="str">
        <f aca="false">IF($A226="","",TEXT($A226,"ddd"))</f>
        <v/>
      </c>
      <c r="C226" s="20"/>
      <c r="D226" s="20"/>
      <c r="E226" s="23" t="str">
        <f aca="false">IF($A226="","",N($C226)+N($D226))</f>
        <v/>
      </c>
      <c r="F226" s="20"/>
      <c r="G226" s="20"/>
      <c r="H226" s="20"/>
      <c r="I226" s="21"/>
      <c r="J226" s="21"/>
    </row>
    <row r="227" customFormat="false" ht="15" hidden="false" customHeight="false" outlineLevel="0" collapsed="false">
      <c r="A227" s="42"/>
      <c r="B227" s="23" t="str">
        <f aca="false">IF($A227="","",TEXT($A227,"ddd"))</f>
        <v/>
      </c>
      <c r="C227" s="20"/>
      <c r="D227" s="20"/>
      <c r="E227" s="23" t="str">
        <f aca="false">IF($A227="","",N($C227)+N($D227))</f>
        <v/>
      </c>
      <c r="F227" s="20"/>
      <c r="G227" s="20"/>
      <c r="H227" s="20"/>
      <c r="I227" s="21"/>
      <c r="J227" s="21"/>
    </row>
    <row r="228" customFormat="false" ht="15" hidden="false" customHeight="false" outlineLevel="0" collapsed="false">
      <c r="A228" s="42"/>
      <c r="B228" s="23" t="str">
        <f aca="false">IF($A228="","",TEXT($A228,"ddd"))</f>
        <v/>
      </c>
      <c r="C228" s="20"/>
      <c r="D228" s="20"/>
      <c r="E228" s="23" t="str">
        <f aca="false">IF($A228="","",N($C228)+N($D228))</f>
        <v/>
      </c>
      <c r="F228" s="20"/>
      <c r="G228" s="20"/>
      <c r="H228" s="20"/>
      <c r="I228" s="21"/>
      <c r="J228" s="21"/>
    </row>
    <row r="229" customFormat="false" ht="15" hidden="false" customHeight="false" outlineLevel="0" collapsed="false">
      <c r="A229" s="42"/>
      <c r="B229" s="23" t="str">
        <f aca="false">IF($A229="","",TEXT($A229,"ddd"))</f>
        <v/>
      </c>
      <c r="C229" s="20"/>
      <c r="D229" s="20"/>
      <c r="E229" s="23" t="str">
        <f aca="false">IF($A229="","",N($C229)+N($D229))</f>
        <v/>
      </c>
      <c r="F229" s="20"/>
      <c r="G229" s="20"/>
      <c r="H229" s="20"/>
      <c r="I229" s="21"/>
      <c r="J229" s="21"/>
    </row>
    <row r="230" customFormat="false" ht="15" hidden="false" customHeight="false" outlineLevel="0" collapsed="false">
      <c r="A230" s="42"/>
      <c r="B230" s="23" t="str">
        <f aca="false">IF($A230="","",TEXT($A230,"ddd"))</f>
        <v/>
      </c>
      <c r="C230" s="20"/>
      <c r="D230" s="20"/>
      <c r="E230" s="23" t="str">
        <f aca="false">IF($A230="","",N($C230)+N($D230))</f>
        <v/>
      </c>
      <c r="F230" s="20"/>
      <c r="G230" s="20"/>
      <c r="H230" s="20"/>
      <c r="I230" s="21"/>
      <c r="J230" s="21"/>
    </row>
    <row r="231" customFormat="false" ht="15" hidden="false" customHeight="false" outlineLevel="0" collapsed="false">
      <c r="A231" s="42"/>
      <c r="B231" s="23" t="str">
        <f aca="false">IF($A231="","",TEXT($A231,"ddd"))</f>
        <v/>
      </c>
      <c r="C231" s="20"/>
      <c r="D231" s="20"/>
      <c r="E231" s="23" t="str">
        <f aca="false">IF($A231="","",N($C231)+N($D231))</f>
        <v/>
      </c>
      <c r="F231" s="20"/>
      <c r="G231" s="20"/>
      <c r="H231" s="20"/>
      <c r="I231" s="21"/>
      <c r="J231" s="21"/>
    </row>
    <row r="232" customFormat="false" ht="15" hidden="false" customHeight="false" outlineLevel="0" collapsed="false">
      <c r="A232" s="42"/>
      <c r="B232" s="23" t="str">
        <f aca="false">IF($A232="","",TEXT($A232,"ddd"))</f>
        <v/>
      </c>
      <c r="C232" s="20"/>
      <c r="D232" s="20"/>
      <c r="E232" s="23" t="str">
        <f aca="false">IF($A232="","",N($C232)+N($D232))</f>
        <v/>
      </c>
      <c r="F232" s="20"/>
      <c r="G232" s="20"/>
      <c r="H232" s="20"/>
      <c r="I232" s="21"/>
      <c r="J232" s="21"/>
    </row>
    <row r="233" customFormat="false" ht="15" hidden="false" customHeight="false" outlineLevel="0" collapsed="false">
      <c r="A233" s="42"/>
      <c r="B233" s="23" t="str">
        <f aca="false">IF($A233="","",TEXT($A233,"ddd"))</f>
        <v/>
      </c>
      <c r="C233" s="20"/>
      <c r="D233" s="20"/>
      <c r="E233" s="23" t="str">
        <f aca="false">IF($A233="","",N($C233)+N($D233))</f>
        <v/>
      </c>
      <c r="F233" s="20"/>
      <c r="G233" s="20"/>
      <c r="H233" s="20"/>
      <c r="I233" s="21"/>
      <c r="J233" s="21"/>
    </row>
    <row r="234" customFormat="false" ht="15" hidden="false" customHeight="false" outlineLevel="0" collapsed="false">
      <c r="A234" s="42"/>
      <c r="B234" s="23" t="str">
        <f aca="false">IF($A234="","",TEXT($A234,"ddd"))</f>
        <v/>
      </c>
      <c r="C234" s="20"/>
      <c r="D234" s="20"/>
      <c r="E234" s="23" t="str">
        <f aca="false">IF($A234="","",N($C234)+N($D234))</f>
        <v/>
      </c>
      <c r="F234" s="20"/>
      <c r="G234" s="20"/>
      <c r="H234" s="20"/>
      <c r="I234" s="21"/>
      <c r="J234" s="21"/>
    </row>
    <row r="235" customFormat="false" ht="15" hidden="false" customHeight="false" outlineLevel="0" collapsed="false">
      <c r="A235" s="42"/>
      <c r="B235" s="23" t="str">
        <f aca="false">IF($A235="","",TEXT($A235,"ddd"))</f>
        <v/>
      </c>
      <c r="C235" s="20"/>
      <c r="D235" s="20"/>
      <c r="E235" s="23" t="str">
        <f aca="false">IF($A235="","",N($C235)+N($D235))</f>
        <v/>
      </c>
      <c r="F235" s="20"/>
      <c r="G235" s="20"/>
      <c r="H235" s="20"/>
      <c r="I235" s="21"/>
      <c r="J235" s="21"/>
    </row>
    <row r="236" customFormat="false" ht="15" hidden="false" customHeight="false" outlineLevel="0" collapsed="false">
      <c r="A236" s="42"/>
      <c r="B236" s="23" t="str">
        <f aca="false">IF($A236="","",TEXT($A236,"ddd"))</f>
        <v/>
      </c>
      <c r="C236" s="20"/>
      <c r="D236" s="20"/>
      <c r="E236" s="23" t="str">
        <f aca="false">IF($A236="","",N($C236)+N($D236))</f>
        <v/>
      </c>
      <c r="F236" s="20"/>
      <c r="G236" s="20"/>
      <c r="H236" s="20"/>
      <c r="I236" s="21"/>
      <c r="J236" s="21"/>
    </row>
    <row r="237" customFormat="false" ht="15" hidden="false" customHeight="false" outlineLevel="0" collapsed="false">
      <c r="A237" s="42"/>
      <c r="B237" s="23" t="str">
        <f aca="false">IF($A237="","",TEXT($A237,"ddd"))</f>
        <v/>
      </c>
      <c r="C237" s="20"/>
      <c r="D237" s="20"/>
      <c r="E237" s="23" t="str">
        <f aca="false">IF($A237="","",N($C237)+N($D237))</f>
        <v/>
      </c>
      <c r="F237" s="20"/>
      <c r="G237" s="20"/>
      <c r="H237" s="20"/>
      <c r="I237" s="21"/>
      <c r="J237" s="21"/>
    </row>
    <row r="238" customFormat="false" ht="15" hidden="false" customHeight="false" outlineLevel="0" collapsed="false">
      <c r="A238" s="42"/>
      <c r="B238" s="23" t="str">
        <f aca="false">IF($A238="","",TEXT($A238,"ddd"))</f>
        <v/>
      </c>
      <c r="C238" s="20"/>
      <c r="D238" s="20"/>
      <c r="E238" s="23" t="str">
        <f aca="false">IF($A238="","",N($C238)+N($D238))</f>
        <v/>
      </c>
      <c r="F238" s="20"/>
      <c r="G238" s="20"/>
      <c r="H238" s="20"/>
      <c r="I238" s="21"/>
      <c r="J238" s="21"/>
    </row>
    <row r="239" customFormat="false" ht="15" hidden="false" customHeight="false" outlineLevel="0" collapsed="false">
      <c r="A239" s="42"/>
      <c r="B239" s="23" t="str">
        <f aca="false">IF($A239="","",TEXT($A239,"ddd"))</f>
        <v/>
      </c>
      <c r="C239" s="20"/>
      <c r="D239" s="20"/>
      <c r="E239" s="23" t="str">
        <f aca="false">IF($A239="","",N($C239)+N($D239))</f>
        <v/>
      </c>
      <c r="F239" s="20"/>
      <c r="G239" s="20"/>
      <c r="H239" s="20"/>
      <c r="I239" s="21"/>
      <c r="J239" s="21"/>
    </row>
    <row r="240" customFormat="false" ht="15" hidden="false" customHeight="false" outlineLevel="0" collapsed="false">
      <c r="A240" s="42"/>
      <c r="B240" s="23" t="str">
        <f aca="false">IF($A240="","",TEXT($A240,"ddd"))</f>
        <v/>
      </c>
      <c r="C240" s="20"/>
      <c r="D240" s="20"/>
      <c r="E240" s="23" t="str">
        <f aca="false">IF($A240="","",N($C240)+N($D240))</f>
        <v/>
      </c>
      <c r="F240" s="20"/>
      <c r="G240" s="20"/>
      <c r="H240" s="20"/>
      <c r="I240" s="21"/>
      <c r="J240" s="21"/>
    </row>
    <row r="241" customFormat="false" ht="15" hidden="false" customHeight="false" outlineLevel="0" collapsed="false">
      <c r="A241" s="42"/>
      <c r="B241" s="23" t="str">
        <f aca="false">IF($A241="","",TEXT($A241,"ddd"))</f>
        <v/>
      </c>
      <c r="C241" s="20"/>
      <c r="D241" s="20"/>
      <c r="E241" s="23" t="str">
        <f aca="false">IF($A241="","",N($C241)+N($D241))</f>
        <v/>
      </c>
      <c r="F241" s="20"/>
      <c r="G241" s="20"/>
      <c r="H241" s="20"/>
      <c r="I241" s="21"/>
      <c r="J241" s="21"/>
    </row>
    <row r="242" customFormat="false" ht="15" hidden="false" customHeight="false" outlineLevel="0" collapsed="false">
      <c r="A242" s="42"/>
      <c r="B242" s="23" t="str">
        <f aca="false">IF($A242="","",TEXT($A242,"ddd"))</f>
        <v/>
      </c>
      <c r="C242" s="20"/>
      <c r="D242" s="20"/>
      <c r="E242" s="23" t="str">
        <f aca="false">IF($A242="","",N($C242)+N($D242))</f>
        <v/>
      </c>
      <c r="F242" s="20"/>
      <c r="G242" s="20"/>
      <c r="H242" s="20"/>
      <c r="I242" s="21"/>
      <c r="J242" s="21"/>
    </row>
    <row r="243" customFormat="false" ht="15" hidden="false" customHeight="false" outlineLevel="0" collapsed="false">
      <c r="A243" s="42"/>
      <c r="B243" s="23" t="str">
        <f aca="false">IF($A243="","",TEXT($A243,"ddd"))</f>
        <v/>
      </c>
      <c r="C243" s="20"/>
      <c r="D243" s="20"/>
      <c r="E243" s="23" t="str">
        <f aca="false">IF($A243="","",N($C243)+N($D243))</f>
        <v/>
      </c>
      <c r="F243" s="20"/>
      <c r="G243" s="20"/>
      <c r="H243" s="20"/>
      <c r="I243" s="21"/>
      <c r="J243" s="21"/>
    </row>
    <row r="244" customFormat="false" ht="15" hidden="false" customHeight="false" outlineLevel="0" collapsed="false">
      <c r="A244" s="42"/>
      <c r="B244" s="23" t="str">
        <f aca="false">IF($A244="","",TEXT($A244,"ddd"))</f>
        <v/>
      </c>
      <c r="C244" s="20"/>
      <c r="D244" s="20"/>
      <c r="E244" s="23" t="str">
        <f aca="false">IF($A244="","",N($C244)+N($D244))</f>
        <v/>
      </c>
      <c r="F244" s="20"/>
      <c r="G244" s="20"/>
      <c r="H244" s="20"/>
      <c r="I244" s="21"/>
      <c r="J244" s="21"/>
    </row>
    <row r="245" customFormat="false" ht="15" hidden="false" customHeight="false" outlineLevel="0" collapsed="false">
      <c r="A245" s="42"/>
      <c r="B245" s="23" t="str">
        <f aca="false">IF($A245="","",TEXT($A245,"ddd"))</f>
        <v/>
      </c>
      <c r="C245" s="20"/>
      <c r="D245" s="20"/>
      <c r="E245" s="23" t="str">
        <f aca="false">IF($A245="","",N($C245)+N($D245))</f>
        <v/>
      </c>
      <c r="F245" s="20"/>
      <c r="G245" s="20"/>
      <c r="H245" s="20"/>
      <c r="I245" s="21"/>
      <c r="J245" s="21"/>
    </row>
    <row r="246" customFormat="false" ht="15" hidden="false" customHeight="false" outlineLevel="0" collapsed="false">
      <c r="A246" s="42"/>
      <c r="B246" s="23" t="str">
        <f aca="false">IF($A246="","",TEXT($A246,"ddd"))</f>
        <v/>
      </c>
      <c r="C246" s="20"/>
      <c r="D246" s="20"/>
      <c r="E246" s="23" t="str">
        <f aca="false">IF($A246="","",N($C246)+N($D246))</f>
        <v/>
      </c>
      <c r="F246" s="20"/>
      <c r="G246" s="20"/>
      <c r="H246" s="20"/>
      <c r="I246" s="21"/>
      <c r="J246" s="21"/>
    </row>
    <row r="247" customFormat="false" ht="15" hidden="false" customHeight="false" outlineLevel="0" collapsed="false">
      <c r="A247" s="42"/>
      <c r="B247" s="23" t="str">
        <f aca="false">IF($A247="","",TEXT($A247,"ddd"))</f>
        <v/>
      </c>
      <c r="C247" s="20"/>
      <c r="D247" s="20"/>
      <c r="E247" s="23" t="str">
        <f aca="false">IF($A247="","",N($C247)+N($D247))</f>
        <v/>
      </c>
      <c r="F247" s="20"/>
      <c r="G247" s="20"/>
      <c r="H247" s="20"/>
      <c r="I247" s="21"/>
      <c r="J247" s="21"/>
    </row>
    <row r="248" customFormat="false" ht="15" hidden="false" customHeight="false" outlineLevel="0" collapsed="false">
      <c r="A248" s="42"/>
      <c r="B248" s="23" t="str">
        <f aca="false">IF($A248="","",TEXT($A248,"ddd"))</f>
        <v/>
      </c>
      <c r="C248" s="20"/>
      <c r="D248" s="20"/>
      <c r="E248" s="23" t="str">
        <f aca="false">IF($A248="","",N($C248)+N($D248))</f>
        <v/>
      </c>
      <c r="F248" s="20"/>
      <c r="G248" s="20"/>
      <c r="H248" s="20"/>
      <c r="I248" s="21"/>
      <c r="J248" s="21"/>
    </row>
    <row r="249" customFormat="false" ht="15" hidden="false" customHeight="false" outlineLevel="0" collapsed="false">
      <c r="A249" s="42"/>
      <c r="B249" s="23" t="str">
        <f aca="false">IF($A249="","",TEXT($A249,"ddd"))</f>
        <v/>
      </c>
      <c r="C249" s="20"/>
      <c r="D249" s="20"/>
      <c r="E249" s="23" t="str">
        <f aca="false">IF($A249="","",N($C249)+N($D249))</f>
        <v/>
      </c>
      <c r="F249" s="20"/>
      <c r="G249" s="20"/>
      <c r="H249" s="20"/>
      <c r="I249" s="21"/>
      <c r="J249" s="21"/>
    </row>
    <row r="250" customFormat="false" ht="15" hidden="false" customHeight="false" outlineLevel="0" collapsed="false">
      <c r="A250" s="42"/>
      <c r="B250" s="23" t="str">
        <f aca="false">IF($A250="","",TEXT($A250,"ddd"))</f>
        <v/>
      </c>
      <c r="C250" s="20"/>
      <c r="D250" s="20"/>
      <c r="E250" s="23" t="str">
        <f aca="false">IF($A250="","",N($C250)+N($D250))</f>
        <v/>
      </c>
      <c r="F250" s="20"/>
      <c r="G250" s="20"/>
      <c r="H250" s="20"/>
      <c r="I250" s="21"/>
      <c r="J250" s="21"/>
    </row>
    <row r="251" customFormat="false" ht="15" hidden="false" customHeight="false" outlineLevel="0" collapsed="false">
      <c r="A251" s="42"/>
      <c r="B251" s="23" t="str">
        <f aca="false">IF($A251="","",TEXT($A251,"ddd"))</f>
        <v/>
      </c>
      <c r="C251" s="20"/>
      <c r="D251" s="20"/>
      <c r="E251" s="23" t="str">
        <f aca="false">IF($A251="","",N($C251)+N($D251))</f>
        <v/>
      </c>
      <c r="F251" s="20"/>
      <c r="G251" s="20"/>
      <c r="H251" s="20"/>
      <c r="I251" s="21"/>
      <c r="J251" s="21"/>
    </row>
    <row r="252" customFormat="false" ht="15" hidden="false" customHeight="false" outlineLevel="0" collapsed="false">
      <c r="A252" s="42"/>
      <c r="B252" s="23" t="str">
        <f aca="false">IF($A252="","",TEXT($A252,"ddd"))</f>
        <v/>
      </c>
      <c r="C252" s="20"/>
      <c r="D252" s="20"/>
      <c r="E252" s="23" t="str">
        <f aca="false">IF($A252="","",N($C252)+N($D252))</f>
        <v/>
      </c>
      <c r="F252" s="20"/>
      <c r="G252" s="20"/>
      <c r="H252" s="20"/>
      <c r="I252" s="21"/>
      <c r="J252" s="21"/>
    </row>
    <row r="253" customFormat="false" ht="15" hidden="false" customHeight="false" outlineLevel="0" collapsed="false">
      <c r="A253" s="42"/>
      <c r="B253" s="23" t="str">
        <f aca="false">IF($A253="","",TEXT($A253,"ddd"))</f>
        <v/>
      </c>
      <c r="C253" s="20"/>
      <c r="D253" s="20"/>
      <c r="E253" s="23" t="str">
        <f aca="false">IF($A253="","",N($C253)+N($D253))</f>
        <v/>
      </c>
      <c r="F253" s="20"/>
      <c r="G253" s="20"/>
      <c r="H253" s="20"/>
      <c r="I253" s="21"/>
      <c r="J253" s="21"/>
    </row>
    <row r="254" customFormat="false" ht="15" hidden="false" customHeight="false" outlineLevel="0" collapsed="false">
      <c r="A254" s="42"/>
      <c r="B254" s="23" t="str">
        <f aca="false">IF($A254="","",TEXT($A254,"ddd"))</f>
        <v/>
      </c>
      <c r="C254" s="20"/>
      <c r="D254" s="20"/>
      <c r="E254" s="23" t="str">
        <f aca="false">IF($A254="","",N($C254)+N($D254))</f>
        <v/>
      </c>
      <c r="F254" s="20"/>
      <c r="G254" s="20"/>
      <c r="H254" s="20"/>
      <c r="I254" s="21"/>
      <c r="J254" s="21"/>
    </row>
    <row r="255" customFormat="false" ht="15" hidden="false" customHeight="false" outlineLevel="0" collapsed="false">
      <c r="A255" s="42"/>
      <c r="B255" s="23" t="str">
        <f aca="false">IF($A255="","",TEXT($A255,"ddd"))</f>
        <v/>
      </c>
      <c r="C255" s="20"/>
      <c r="D255" s="20"/>
      <c r="E255" s="23" t="str">
        <f aca="false">IF($A255="","",N($C255)+N($D255))</f>
        <v/>
      </c>
      <c r="F255" s="20"/>
      <c r="G255" s="20"/>
      <c r="H255" s="20"/>
      <c r="I255" s="21"/>
      <c r="J255" s="21"/>
    </row>
    <row r="256" customFormat="false" ht="15" hidden="false" customHeight="false" outlineLevel="0" collapsed="false">
      <c r="A256" s="42"/>
      <c r="B256" s="23" t="str">
        <f aca="false">IF($A256="","",TEXT($A256,"ddd"))</f>
        <v/>
      </c>
      <c r="C256" s="20"/>
      <c r="D256" s="20"/>
      <c r="E256" s="23" t="str">
        <f aca="false">IF($A256="","",N($C256)+N($D256))</f>
        <v/>
      </c>
      <c r="F256" s="20"/>
      <c r="G256" s="20"/>
      <c r="H256" s="20"/>
      <c r="I256" s="21"/>
      <c r="J256" s="21"/>
    </row>
    <row r="257" customFormat="false" ht="15" hidden="false" customHeight="false" outlineLevel="0" collapsed="false">
      <c r="A257" s="42"/>
      <c r="B257" s="23" t="str">
        <f aca="false">IF($A257="","",TEXT($A257,"ddd"))</f>
        <v/>
      </c>
      <c r="C257" s="20"/>
      <c r="D257" s="20"/>
      <c r="E257" s="23" t="str">
        <f aca="false">IF($A257="","",N($C257)+N($D257))</f>
        <v/>
      </c>
      <c r="F257" s="20"/>
      <c r="G257" s="20"/>
      <c r="H257" s="20"/>
      <c r="I257" s="21"/>
      <c r="J257" s="21"/>
    </row>
    <row r="258" customFormat="false" ht="15" hidden="false" customHeight="false" outlineLevel="0" collapsed="false">
      <c r="A258" s="42"/>
      <c r="B258" s="23" t="str">
        <f aca="false">IF($A258="","",TEXT($A258,"ddd"))</f>
        <v/>
      </c>
      <c r="C258" s="20"/>
      <c r="D258" s="20"/>
      <c r="E258" s="23" t="str">
        <f aca="false">IF($A258="","",N($C258)+N($D258))</f>
        <v/>
      </c>
      <c r="F258" s="20"/>
      <c r="G258" s="20"/>
      <c r="H258" s="20"/>
      <c r="I258" s="21"/>
      <c r="J258" s="21"/>
    </row>
    <row r="259" customFormat="false" ht="15" hidden="false" customHeight="false" outlineLevel="0" collapsed="false">
      <c r="A259" s="42"/>
      <c r="B259" s="23" t="str">
        <f aca="false">IF($A259="","",TEXT($A259,"ddd"))</f>
        <v/>
      </c>
      <c r="C259" s="20"/>
      <c r="D259" s="20"/>
      <c r="E259" s="23" t="str">
        <f aca="false">IF($A259="","",N($C259)+N($D259))</f>
        <v/>
      </c>
      <c r="F259" s="20"/>
      <c r="G259" s="20"/>
      <c r="H259" s="20"/>
      <c r="I259" s="21"/>
      <c r="J259" s="21"/>
    </row>
    <row r="260" customFormat="false" ht="15" hidden="false" customHeight="false" outlineLevel="0" collapsed="false">
      <c r="A260" s="42"/>
      <c r="B260" s="23" t="str">
        <f aca="false">IF($A260="","",TEXT($A260,"ddd"))</f>
        <v/>
      </c>
      <c r="C260" s="20"/>
      <c r="D260" s="20"/>
      <c r="E260" s="23" t="str">
        <f aca="false">IF($A260="","",N($C260)+N($D260))</f>
        <v/>
      </c>
      <c r="F260" s="20"/>
      <c r="G260" s="20"/>
      <c r="H260" s="20"/>
      <c r="I260" s="21"/>
      <c r="J260" s="21"/>
    </row>
    <row r="261" customFormat="false" ht="15" hidden="false" customHeight="false" outlineLevel="0" collapsed="false">
      <c r="A261" s="42"/>
      <c r="B261" s="23" t="str">
        <f aca="false">IF($A261="","",TEXT($A261,"ddd"))</f>
        <v/>
      </c>
      <c r="C261" s="20"/>
      <c r="D261" s="20"/>
      <c r="E261" s="23" t="str">
        <f aca="false">IF($A261="","",N($C261)+N($D261))</f>
        <v/>
      </c>
      <c r="F261" s="20"/>
      <c r="G261" s="20"/>
      <c r="H261" s="20"/>
      <c r="I261" s="21"/>
      <c r="J261" s="21"/>
    </row>
    <row r="262" customFormat="false" ht="15" hidden="false" customHeight="false" outlineLevel="0" collapsed="false">
      <c r="A262" s="42"/>
      <c r="B262" s="23" t="str">
        <f aca="false">IF($A262="","",TEXT($A262,"ddd"))</f>
        <v/>
      </c>
      <c r="C262" s="20"/>
      <c r="D262" s="20"/>
      <c r="E262" s="23" t="str">
        <f aca="false">IF($A262="","",N($C262)+N($D262))</f>
        <v/>
      </c>
      <c r="F262" s="20"/>
      <c r="G262" s="20"/>
      <c r="H262" s="20"/>
      <c r="I262" s="21"/>
      <c r="J262" s="21"/>
    </row>
    <row r="263" customFormat="false" ht="15" hidden="false" customHeight="false" outlineLevel="0" collapsed="false">
      <c r="A263" s="42"/>
      <c r="B263" s="23" t="str">
        <f aca="false">IF($A263="","",TEXT($A263,"ddd"))</f>
        <v/>
      </c>
      <c r="C263" s="20"/>
      <c r="D263" s="20"/>
      <c r="E263" s="23" t="str">
        <f aca="false">IF($A263="","",N($C263)+N($D263))</f>
        <v/>
      </c>
      <c r="F263" s="20"/>
      <c r="G263" s="20"/>
      <c r="H263" s="20"/>
      <c r="I263" s="21"/>
      <c r="J263" s="21"/>
    </row>
    <row r="264" customFormat="false" ht="15" hidden="false" customHeight="false" outlineLevel="0" collapsed="false">
      <c r="A264" s="42"/>
      <c r="B264" s="23" t="str">
        <f aca="false">IF($A264="","",TEXT($A264,"ddd"))</f>
        <v/>
      </c>
      <c r="C264" s="20"/>
      <c r="D264" s="20"/>
      <c r="E264" s="23" t="str">
        <f aca="false">IF($A264="","",N($C264)+N($D264))</f>
        <v/>
      </c>
      <c r="F264" s="20"/>
      <c r="G264" s="20"/>
      <c r="H264" s="20"/>
      <c r="I264" s="21"/>
      <c r="J264" s="21"/>
    </row>
    <row r="265" customFormat="false" ht="15" hidden="false" customHeight="false" outlineLevel="0" collapsed="false">
      <c r="A265" s="42"/>
      <c r="B265" s="23" t="str">
        <f aca="false">IF($A265="","",TEXT($A265,"ddd"))</f>
        <v/>
      </c>
      <c r="C265" s="20"/>
      <c r="D265" s="20"/>
      <c r="E265" s="23" t="str">
        <f aca="false">IF($A265="","",N($C265)+N($D265))</f>
        <v/>
      </c>
      <c r="F265" s="20"/>
      <c r="G265" s="20"/>
      <c r="H265" s="20"/>
      <c r="I265" s="21"/>
      <c r="J265" s="21"/>
    </row>
    <row r="266" customFormat="false" ht="15" hidden="false" customHeight="false" outlineLevel="0" collapsed="false">
      <c r="A266" s="42"/>
      <c r="B266" s="23" t="str">
        <f aca="false">IF($A266="","",TEXT($A266,"ddd"))</f>
        <v/>
      </c>
      <c r="C266" s="20"/>
      <c r="D266" s="20"/>
      <c r="E266" s="23" t="str">
        <f aca="false">IF($A266="","",N($C266)+N($D266))</f>
        <v/>
      </c>
      <c r="F266" s="20"/>
      <c r="G266" s="20"/>
      <c r="H266" s="20"/>
      <c r="I266" s="21"/>
      <c r="J266" s="21"/>
    </row>
    <row r="267" customFormat="false" ht="15" hidden="false" customHeight="false" outlineLevel="0" collapsed="false">
      <c r="A267" s="42"/>
      <c r="B267" s="23" t="str">
        <f aca="false">IF($A267="","",TEXT($A267,"ddd"))</f>
        <v/>
      </c>
      <c r="C267" s="20"/>
      <c r="D267" s="20"/>
      <c r="E267" s="23" t="str">
        <f aca="false">IF($A267="","",N($C267)+N($D267))</f>
        <v/>
      </c>
      <c r="F267" s="20"/>
      <c r="G267" s="20"/>
      <c r="H267" s="20"/>
      <c r="I267" s="21"/>
      <c r="J267" s="21"/>
    </row>
    <row r="268" customFormat="false" ht="15" hidden="false" customHeight="false" outlineLevel="0" collapsed="false">
      <c r="A268" s="42"/>
      <c r="B268" s="23" t="str">
        <f aca="false">IF($A268="","",TEXT($A268,"ddd"))</f>
        <v/>
      </c>
      <c r="C268" s="20"/>
      <c r="D268" s="20"/>
      <c r="E268" s="23" t="str">
        <f aca="false">IF($A268="","",N($C268)+N($D268))</f>
        <v/>
      </c>
      <c r="F268" s="20"/>
      <c r="G268" s="20"/>
      <c r="H268" s="20"/>
      <c r="I268" s="21"/>
      <c r="J268" s="21"/>
    </row>
    <row r="269" customFormat="false" ht="15" hidden="false" customHeight="false" outlineLevel="0" collapsed="false">
      <c r="A269" s="42"/>
      <c r="B269" s="23" t="str">
        <f aca="false">IF($A269="","",TEXT($A269,"ddd"))</f>
        <v/>
      </c>
      <c r="C269" s="20"/>
      <c r="D269" s="20"/>
      <c r="E269" s="23" t="str">
        <f aca="false">IF($A269="","",N($C269)+N($D269))</f>
        <v/>
      </c>
      <c r="F269" s="20"/>
      <c r="G269" s="20"/>
      <c r="H269" s="20"/>
      <c r="I269" s="21"/>
      <c r="J269" s="21"/>
    </row>
    <row r="270" customFormat="false" ht="15" hidden="false" customHeight="false" outlineLevel="0" collapsed="false">
      <c r="A270" s="42"/>
      <c r="B270" s="23" t="str">
        <f aca="false">IF($A270="","",TEXT($A270,"ddd"))</f>
        <v/>
      </c>
      <c r="C270" s="20"/>
      <c r="D270" s="20"/>
      <c r="E270" s="23" t="str">
        <f aca="false">IF($A270="","",N($C270)+N($D270))</f>
        <v/>
      </c>
      <c r="F270" s="20"/>
      <c r="G270" s="20"/>
      <c r="H270" s="20"/>
      <c r="I270" s="21"/>
      <c r="J270" s="21"/>
    </row>
    <row r="271" customFormat="false" ht="15" hidden="false" customHeight="false" outlineLevel="0" collapsed="false">
      <c r="A271" s="42"/>
      <c r="B271" s="23" t="str">
        <f aca="false">IF($A271="","",TEXT($A271,"ddd"))</f>
        <v/>
      </c>
      <c r="C271" s="20"/>
      <c r="D271" s="20"/>
      <c r="E271" s="23" t="str">
        <f aca="false">IF($A271="","",N($C271)+N($D271))</f>
        <v/>
      </c>
      <c r="F271" s="20"/>
      <c r="G271" s="20"/>
      <c r="H271" s="20"/>
      <c r="I271" s="21"/>
      <c r="J271" s="21"/>
    </row>
    <row r="272" customFormat="false" ht="15" hidden="false" customHeight="false" outlineLevel="0" collapsed="false">
      <c r="A272" s="42"/>
      <c r="B272" s="23" t="str">
        <f aca="false">IF($A272="","",TEXT($A272,"ddd"))</f>
        <v/>
      </c>
      <c r="C272" s="20"/>
      <c r="D272" s="20"/>
      <c r="E272" s="23" t="str">
        <f aca="false">IF($A272="","",N($C272)+N($D272))</f>
        <v/>
      </c>
      <c r="F272" s="20"/>
      <c r="G272" s="20"/>
      <c r="H272" s="20"/>
      <c r="I272" s="21"/>
      <c r="J272" s="21"/>
    </row>
    <row r="273" customFormat="false" ht="15" hidden="false" customHeight="false" outlineLevel="0" collapsed="false">
      <c r="A273" s="42"/>
      <c r="B273" s="23" t="str">
        <f aca="false">IF($A273="","",TEXT($A273,"ddd"))</f>
        <v/>
      </c>
      <c r="C273" s="20"/>
      <c r="D273" s="20"/>
      <c r="E273" s="23" t="str">
        <f aca="false">IF($A273="","",N($C273)+N($D273))</f>
        <v/>
      </c>
      <c r="F273" s="20"/>
      <c r="G273" s="20"/>
      <c r="H273" s="20"/>
      <c r="I273" s="21"/>
      <c r="J273" s="21"/>
    </row>
    <row r="274" customFormat="false" ht="15" hidden="false" customHeight="false" outlineLevel="0" collapsed="false">
      <c r="A274" s="42"/>
      <c r="B274" s="23" t="str">
        <f aca="false">IF($A274="","",TEXT($A274,"ddd"))</f>
        <v/>
      </c>
      <c r="C274" s="20"/>
      <c r="D274" s="20"/>
      <c r="E274" s="23" t="str">
        <f aca="false">IF($A274="","",N($C274)+N($D274))</f>
        <v/>
      </c>
      <c r="F274" s="20"/>
      <c r="G274" s="20"/>
      <c r="H274" s="20"/>
      <c r="I274" s="21"/>
      <c r="J274" s="21"/>
    </row>
    <row r="275" customFormat="false" ht="15" hidden="false" customHeight="false" outlineLevel="0" collapsed="false">
      <c r="A275" s="42"/>
      <c r="B275" s="23" t="str">
        <f aca="false">IF($A275="","",TEXT($A275,"ddd"))</f>
        <v/>
      </c>
      <c r="C275" s="20"/>
      <c r="D275" s="20"/>
      <c r="E275" s="23" t="str">
        <f aca="false">IF($A275="","",N($C275)+N($D275))</f>
        <v/>
      </c>
      <c r="F275" s="20"/>
      <c r="G275" s="20"/>
      <c r="H275" s="20"/>
      <c r="I275" s="21"/>
      <c r="J275" s="21"/>
    </row>
    <row r="276" customFormat="false" ht="15" hidden="false" customHeight="false" outlineLevel="0" collapsed="false">
      <c r="A276" s="42"/>
      <c r="B276" s="23" t="str">
        <f aca="false">IF($A276="","",TEXT($A276,"ddd"))</f>
        <v/>
      </c>
      <c r="C276" s="20"/>
      <c r="D276" s="20"/>
      <c r="E276" s="23" t="str">
        <f aca="false">IF($A276="","",N($C276)+N($D276))</f>
        <v/>
      </c>
      <c r="F276" s="20"/>
      <c r="G276" s="20"/>
      <c r="H276" s="20"/>
      <c r="I276" s="21"/>
      <c r="J276" s="21"/>
    </row>
    <row r="277" customFormat="false" ht="15" hidden="false" customHeight="false" outlineLevel="0" collapsed="false">
      <c r="A277" s="42"/>
      <c r="B277" s="23" t="str">
        <f aca="false">IF($A277="","",TEXT($A277,"ddd"))</f>
        <v/>
      </c>
      <c r="C277" s="20"/>
      <c r="D277" s="20"/>
      <c r="E277" s="23" t="str">
        <f aca="false">IF($A277="","",N($C277)+N($D277))</f>
        <v/>
      </c>
      <c r="F277" s="20"/>
      <c r="G277" s="20"/>
      <c r="H277" s="20"/>
      <c r="I277" s="21"/>
      <c r="J277" s="21"/>
    </row>
    <row r="278" customFormat="false" ht="15" hidden="false" customHeight="false" outlineLevel="0" collapsed="false">
      <c r="A278" s="42"/>
      <c r="B278" s="23" t="str">
        <f aca="false">IF($A278="","",TEXT($A278,"ddd"))</f>
        <v/>
      </c>
      <c r="C278" s="20"/>
      <c r="D278" s="20"/>
      <c r="E278" s="23" t="str">
        <f aca="false">IF($A278="","",N($C278)+N($D278))</f>
        <v/>
      </c>
      <c r="F278" s="20"/>
      <c r="G278" s="20"/>
      <c r="H278" s="20"/>
      <c r="I278" s="21"/>
      <c r="J278" s="21"/>
    </row>
    <row r="279" customFormat="false" ht="15" hidden="false" customHeight="false" outlineLevel="0" collapsed="false">
      <c r="A279" s="42"/>
      <c r="B279" s="23" t="str">
        <f aca="false">IF($A279="","",TEXT($A279,"ddd"))</f>
        <v/>
      </c>
      <c r="C279" s="20"/>
      <c r="D279" s="20"/>
      <c r="E279" s="23" t="str">
        <f aca="false">IF($A279="","",N($C279)+N($D279))</f>
        <v/>
      </c>
      <c r="F279" s="20"/>
      <c r="G279" s="20"/>
      <c r="H279" s="20"/>
      <c r="I279" s="21"/>
      <c r="J279" s="21"/>
    </row>
    <row r="280" customFormat="false" ht="15" hidden="false" customHeight="false" outlineLevel="0" collapsed="false">
      <c r="A280" s="42"/>
      <c r="B280" s="23" t="str">
        <f aca="false">IF($A280="","",TEXT($A280,"ddd"))</f>
        <v/>
      </c>
      <c r="C280" s="20"/>
      <c r="D280" s="20"/>
      <c r="E280" s="23" t="str">
        <f aca="false">IF($A280="","",N($C280)+N($D280))</f>
        <v/>
      </c>
      <c r="F280" s="20"/>
      <c r="G280" s="20"/>
      <c r="H280" s="20"/>
      <c r="I280" s="21"/>
      <c r="J280" s="21"/>
    </row>
    <row r="281" customFormat="false" ht="15" hidden="false" customHeight="false" outlineLevel="0" collapsed="false">
      <c r="A281" s="42"/>
      <c r="B281" s="23" t="str">
        <f aca="false">IF($A281="","",TEXT($A281,"ddd"))</f>
        <v/>
      </c>
      <c r="C281" s="20"/>
      <c r="D281" s="20"/>
      <c r="E281" s="23" t="str">
        <f aca="false">IF($A281="","",N($C281)+N($D281))</f>
        <v/>
      </c>
      <c r="F281" s="20"/>
      <c r="G281" s="20"/>
      <c r="H281" s="20"/>
      <c r="I281" s="21"/>
      <c r="J281" s="21"/>
    </row>
    <row r="282" customFormat="false" ht="15" hidden="false" customHeight="false" outlineLevel="0" collapsed="false">
      <c r="A282" s="42"/>
      <c r="B282" s="23" t="str">
        <f aca="false">IF($A282="","",TEXT($A282,"ddd"))</f>
        <v/>
      </c>
      <c r="C282" s="20"/>
      <c r="D282" s="20"/>
      <c r="E282" s="23" t="str">
        <f aca="false">IF($A282="","",N($C282)+N($D282))</f>
        <v/>
      </c>
      <c r="F282" s="20"/>
      <c r="G282" s="20"/>
      <c r="H282" s="20"/>
      <c r="I282" s="21"/>
      <c r="J282" s="21"/>
    </row>
    <row r="283" customFormat="false" ht="15" hidden="false" customHeight="false" outlineLevel="0" collapsed="false">
      <c r="A283" s="42"/>
      <c r="B283" s="23" t="str">
        <f aca="false">IF($A283="","",TEXT($A283,"ddd"))</f>
        <v/>
      </c>
      <c r="C283" s="20"/>
      <c r="D283" s="20"/>
      <c r="E283" s="23" t="str">
        <f aca="false">IF($A283="","",N($C283)+N($D283))</f>
        <v/>
      </c>
      <c r="F283" s="20"/>
      <c r="G283" s="20"/>
      <c r="H283" s="20"/>
      <c r="I283" s="21"/>
      <c r="J283" s="21"/>
    </row>
    <row r="284" customFormat="false" ht="15" hidden="false" customHeight="false" outlineLevel="0" collapsed="false">
      <c r="A284" s="42"/>
      <c r="B284" s="23" t="str">
        <f aca="false">IF($A284="","",TEXT($A284,"ddd"))</f>
        <v/>
      </c>
      <c r="C284" s="20"/>
      <c r="D284" s="20"/>
      <c r="E284" s="23" t="str">
        <f aca="false">IF($A284="","",N($C284)+N($D284))</f>
        <v/>
      </c>
      <c r="F284" s="20"/>
      <c r="G284" s="20"/>
      <c r="H284" s="20"/>
      <c r="I284" s="21"/>
      <c r="J284" s="21"/>
    </row>
    <row r="285" customFormat="false" ht="15" hidden="false" customHeight="false" outlineLevel="0" collapsed="false">
      <c r="A285" s="42"/>
      <c r="B285" s="23" t="str">
        <f aca="false">IF($A285="","",TEXT($A285,"ddd"))</f>
        <v/>
      </c>
      <c r="C285" s="20"/>
      <c r="D285" s="20"/>
      <c r="E285" s="23" t="str">
        <f aca="false">IF($A285="","",N($C285)+N($D285))</f>
        <v/>
      </c>
      <c r="F285" s="20"/>
      <c r="G285" s="20"/>
      <c r="H285" s="20"/>
      <c r="I285" s="21"/>
      <c r="J285" s="21"/>
    </row>
    <row r="286" customFormat="false" ht="15" hidden="false" customHeight="false" outlineLevel="0" collapsed="false">
      <c r="A286" s="42"/>
      <c r="B286" s="23" t="str">
        <f aca="false">IF($A286="","",TEXT($A286,"ddd"))</f>
        <v/>
      </c>
      <c r="C286" s="20"/>
      <c r="D286" s="20"/>
      <c r="E286" s="23" t="str">
        <f aca="false">IF($A286="","",N($C286)+N($D286))</f>
        <v/>
      </c>
      <c r="F286" s="20"/>
      <c r="G286" s="20"/>
      <c r="H286" s="20"/>
      <c r="I286" s="21"/>
      <c r="J286" s="21"/>
    </row>
    <row r="287" customFormat="false" ht="15" hidden="false" customHeight="false" outlineLevel="0" collapsed="false">
      <c r="A287" s="42"/>
      <c r="B287" s="23" t="str">
        <f aca="false">IF($A287="","",TEXT($A287,"ddd"))</f>
        <v/>
      </c>
      <c r="C287" s="20"/>
      <c r="D287" s="20"/>
      <c r="E287" s="23" t="str">
        <f aca="false">IF($A287="","",N($C287)+N($D287))</f>
        <v/>
      </c>
      <c r="F287" s="20"/>
      <c r="G287" s="20"/>
      <c r="H287" s="20"/>
      <c r="I287" s="21"/>
      <c r="J287" s="21"/>
    </row>
    <row r="288" customFormat="false" ht="15" hidden="false" customHeight="false" outlineLevel="0" collapsed="false">
      <c r="A288" s="42"/>
      <c r="B288" s="23" t="str">
        <f aca="false">IF($A288="","",TEXT($A288,"ddd"))</f>
        <v/>
      </c>
      <c r="C288" s="20"/>
      <c r="D288" s="20"/>
      <c r="E288" s="23" t="str">
        <f aca="false">IF($A288="","",N($C288)+N($D288))</f>
        <v/>
      </c>
      <c r="F288" s="20"/>
      <c r="G288" s="20"/>
      <c r="H288" s="20"/>
      <c r="I288" s="21"/>
      <c r="J288" s="21"/>
    </row>
    <row r="289" customFormat="false" ht="15" hidden="false" customHeight="false" outlineLevel="0" collapsed="false">
      <c r="A289" s="42"/>
      <c r="B289" s="23" t="str">
        <f aca="false">IF($A289="","",TEXT($A289,"ddd"))</f>
        <v/>
      </c>
      <c r="C289" s="20"/>
      <c r="D289" s="20"/>
      <c r="E289" s="23" t="str">
        <f aca="false">IF($A289="","",N($C289)+N($D289))</f>
        <v/>
      </c>
      <c r="F289" s="20"/>
      <c r="G289" s="20"/>
      <c r="H289" s="20"/>
      <c r="I289" s="21"/>
      <c r="J289" s="21"/>
    </row>
    <row r="290" customFormat="false" ht="15" hidden="false" customHeight="false" outlineLevel="0" collapsed="false">
      <c r="A290" s="42"/>
      <c r="B290" s="23" t="str">
        <f aca="false">IF($A290="","",TEXT($A290,"ddd"))</f>
        <v/>
      </c>
      <c r="C290" s="20"/>
      <c r="D290" s="20"/>
      <c r="E290" s="23" t="str">
        <f aca="false">IF($A290="","",N($C290)+N($D290))</f>
        <v/>
      </c>
      <c r="F290" s="20"/>
      <c r="G290" s="20"/>
      <c r="H290" s="20"/>
      <c r="I290" s="21"/>
      <c r="J290" s="21"/>
    </row>
    <row r="291" customFormat="false" ht="15" hidden="false" customHeight="false" outlineLevel="0" collapsed="false">
      <c r="A291" s="42"/>
      <c r="B291" s="23" t="str">
        <f aca="false">IF($A291="","",TEXT($A291,"ddd"))</f>
        <v/>
      </c>
      <c r="C291" s="20"/>
      <c r="D291" s="20"/>
      <c r="E291" s="23" t="str">
        <f aca="false">IF($A291="","",N($C291)+N($D291))</f>
        <v/>
      </c>
      <c r="F291" s="20"/>
      <c r="G291" s="20"/>
      <c r="H291" s="20"/>
      <c r="I291" s="21"/>
      <c r="J291" s="21"/>
    </row>
    <row r="292" customFormat="false" ht="15" hidden="false" customHeight="false" outlineLevel="0" collapsed="false">
      <c r="A292" s="42"/>
      <c r="B292" s="23" t="str">
        <f aca="false">IF($A292="","",TEXT($A292,"ddd"))</f>
        <v/>
      </c>
      <c r="C292" s="20"/>
      <c r="D292" s="20"/>
      <c r="E292" s="23" t="str">
        <f aca="false">IF($A292="","",N($C292)+N($D292))</f>
        <v/>
      </c>
      <c r="F292" s="20"/>
      <c r="G292" s="20"/>
      <c r="H292" s="20"/>
      <c r="I292" s="21"/>
      <c r="J292" s="21"/>
    </row>
    <row r="293" customFormat="false" ht="15" hidden="false" customHeight="false" outlineLevel="0" collapsed="false">
      <c r="A293" s="42"/>
      <c r="B293" s="23" t="str">
        <f aca="false">IF($A293="","",TEXT($A293,"ddd"))</f>
        <v/>
      </c>
      <c r="C293" s="20"/>
      <c r="D293" s="20"/>
      <c r="E293" s="23" t="str">
        <f aca="false">IF($A293="","",N($C293)+N($D293))</f>
        <v/>
      </c>
      <c r="F293" s="20"/>
      <c r="G293" s="20"/>
      <c r="H293" s="20"/>
      <c r="I293" s="21"/>
      <c r="J293" s="21"/>
    </row>
    <row r="294" customFormat="false" ht="15" hidden="false" customHeight="false" outlineLevel="0" collapsed="false">
      <c r="A294" s="42"/>
      <c r="B294" s="23" t="str">
        <f aca="false">IF($A294="","",TEXT($A294,"ddd"))</f>
        <v/>
      </c>
      <c r="C294" s="20"/>
      <c r="D294" s="20"/>
      <c r="E294" s="23" t="str">
        <f aca="false">IF($A294="","",N($C294)+N($D294))</f>
        <v/>
      </c>
      <c r="F294" s="20"/>
      <c r="G294" s="20"/>
      <c r="H294" s="20"/>
      <c r="I294" s="21"/>
      <c r="J294" s="21"/>
    </row>
    <row r="295" customFormat="false" ht="15" hidden="false" customHeight="false" outlineLevel="0" collapsed="false">
      <c r="A295" s="42"/>
      <c r="B295" s="23" t="str">
        <f aca="false">IF($A295="","",TEXT($A295,"ddd"))</f>
        <v/>
      </c>
      <c r="C295" s="20"/>
      <c r="D295" s="20"/>
      <c r="E295" s="23" t="str">
        <f aca="false">IF($A295="","",N($C295)+N($D295))</f>
        <v/>
      </c>
      <c r="F295" s="20"/>
      <c r="G295" s="20"/>
      <c r="H295" s="20"/>
      <c r="I295" s="21"/>
      <c r="J295" s="21"/>
    </row>
    <row r="296" customFormat="false" ht="15" hidden="false" customHeight="false" outlineLevel="0" collapsed="false">
      <c r="A296" s="42"/>
      <c r="B296" s="23" t="str">
        <f aca="false">IF($A296="","",TEXT($A296,"ddd"))</f>
        <v/>
      </c>
      <c r="C296" s="20"/>
      <c r="D296" s="20"/>
      <c r="E296" s="23" t="str">
        <f aca="false">IF($A296="","",N($C296)+N($D296))</f>
        <v/>
      </c>
      <c r="F296" s="20"/>
      <c r="G296" s="20"/>
      <c r="H296" s="20"/>
      <c r="I296" s="21"/>
      <c r="J296" s="21"/>
    </row>
    <row r="297" customFormat="false" ht="15" hidden="false" customHeight="false" outlineLevel="0" collapsed="false">
      <c r="A297" s="42"/>
      <c r="B297" s="23" t="str">
        <f aca="false">IF($A297="","",TEXT($A297,"ddd"))</f>
        <v/>
      </c>
      <c r="C297" s="20"/>
      <c r="D297" s="20"/>
      <c r="E297" s="23" t="str">
        <f aca="false">IF($A297="","",N($C297)+N($D297))</f>
        <v/>
      </c>
      <c r="F297" s="20"/>
      <c r="G297" s="20"/>
      <c r="H297" s="20"/>
      <c r="I297" s="21"/>
      <c r="J297" s="21"/>
    </row>
    <row r="298" customFormat="false" ht="15" hidden="false" customHeight="false" outlineLevel="0" collapsed="false">
      <c r="A298" s="42"/>
      <c r="B298" s="23" t="str">
        <f aca="false">IF($A298="","",TEXT($A298,"ddd"))</f>
        <v/>
      </c>
      <c r="C298" s="20"/>
      <c r="D298" s="20"/>
      <c r="E298" s="23" t="str">
        <f aca="false">IF($A298="","",N($C298)+N($D298))</f>
        <v/>
      </c>
      <c r="F298" s="20"/>
      <c r="G298" s="20"/>
      <c r="H298" s="20"/>
      <c r="I298" s="21"/>
      <c r="J298" s="21"/>
    </row>
    <row r="299" customFormat="false" ht="15" hidden="false" customHeight="false" outlineLevel="0" collapsed="false">
      <c r="A299" s="42"/>
      <c r="B299" s="23" t="str">
        <f aca="false">IF($A299="","",TEXT($A299,"ddd"))</f>
        <v/>
      </c>
      <c r="C299" s="20"/>
      <c r="D299" s="20"/>
      <c r="E299" s="23" t="str">
        <f aca="false">IF($A299="","",N($C299)+N($D299))</f>
        <v/>
      </c>
      <c r="F299" s="20"/>
      <c r="G299" s="20"/>
      <c r="H299" s="20"/>
      <c r="I299" s="21"/>
      <c r="J299" s="21"/>
    </row>
    <row r="300" customFormat="false" ht="15" hidden="false" customHeight="false" outlineLevel="0" collapsed="false">
      <c r="A300" s="42"/>
      <c r="B300" s="23" t="str">
        <f aca="false">IF($A300="","",TEXT($A300,"ddd"))</f>
        <v/>
      </c>
      <c r="C300" s="20"/>
      <c r="D300" s="20"/>
      <c r="E300" s="23" t="str">
        <f aca="false">IF($A300="","",N($C300)+N($D300))</f>
        <v/>
      </c>
      <c r="F300" s="20"/>
      <c r="G300" s="20"/>
      <c r="H300" s="20"/>
      <c r="I300" s="21"/>
      <c r="J300" s="21"/>
    </row>
  </sheetData>
  <autoFilter ref="A2:J300"/>
  <mergeCells count="1">
    <mergeCell ref="A1:J1"/>
  </mergeCells>
  <conditionalFormatting sqref="E3:E300">
    <cfRule type="cellIs" priority="2" operator="lessThan" aboveAverage="0" equalAverage="0" bottom="0" percent="0" rank="0" text="" dxfId="10">
      <formula>3</formula>
    </cfRule>
  </conditionalFormatting>
  <dataValidations count="1">
    <dataValidation allowBlank="true" errorStyle="stop" operator="between" showDropDown="false" showErrorMessage="false" showInputMessage="false" sqref="H3:H3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26"/>
    <col collapsed="false" customWidth="true" hidden="false" outlineLevel="0" max="5" min="4" style="0" width="17"/>
    <col collapsed="false" customWidth="true" hidden="false" outlineLevel="0" max="6" min="6" style="0" width="13"/>
    <col collapsed="false" customWidth="true" hidden="false" outlineLevel="0" max="7" min="7" style="0" width="11"/>
    <col collapsed="false" customWidth="true" hidden="false" outlineLevel="0" max="8" min="8" style="0" width="32"/>
    <col collapsed="false" customWidth="true" hidden="false" outlineLevel="0" max="9" min="9" style="0" width="40"/>
  </cols>
  <sheetData>
    <row r="1" customFormat="false" ht="15" hidden="false" customHeight="false" outlineLevel="0" collapsed="false">
      <c r="A1" s="10" t="s">
        <v>352</v>
      </c>
      <c r="B1" s="10"/>
      <c r="C1" s="10"/>
      <c r="D1" s="10"/>
      <c r="E1" s="10"/>
      <c r="F1" s="10"/>
      <c r="G1" s="10"/>
      <c r="H1" s="10"/>
      <c r="I1" s="10"/>
    </row>
    <row r="2" customFormat="false" ht="30" hidden="false" customHeight="true" outlineLevel="0" collapsed="false">
      <c r="A2" s="11" t="s">
        <v>353</v>
      </c>
      <c r="B2" s="11" t="s">
        <v>354</v>
      </c>
      <c r="C2" s="11" t="s">
        <v>355</v>
      </c>
      <c r="D2" s="11" t="s">
        <v>356</v>
      </c>
      <c r="E2" s="11" t="s">
        <v>154</v>
      </c>
      <c r="F2" s="11" t="s">
        <v>357</v>
      </c>
      <c r="G2" s="11" t="s">
        <v>358</v>
      </c>
      <c r="H2" s="11" t="s">
        <v>359</v>
      </c>
      <c r="I2" s="11" t="s">
        <v>265</v>
      </c>
    </row>
    <row r="3" customFormat="false" ht="15" hidden="false" customHeight="false" outlineLevel="0" collapsed="false">
      <c r="A3" s="41" t="n">
        <v>46361</v>
      </c>
      <c r="B3" s="15" t="s">
        <v>360</v>
      </c>
      <c r="C3" s="15" t="s">
        <v>361</v>
      </c>
      <c r="D3" s="15" t="s">
        <v>362</v>
      </c>
      <c r="E3" s="14" t="s">
        <v>363</v>
      </c>
      <c r="F3" s="41" t="n">
        <v>46361</v>
      </c>
      <c r="G3" s="17" t="n">
        <f aca="true">IF($F3="","",TODAY()-$F3)</f>
        <v>-128</v>
      </c>
      <c r="H3" s="15" t="s">
        <v>364</v>
      </c>
      <c r="I3" s="15" t="s">
        <v>365</v>
      </c>
    </row>
    <row r="4" customFormat="false" ht="15" hidden="false" customHeight="false" outlineLevel="0" collapsed="false">
      <c r="A4" s="42"/>
      <c r="B4" s="21"/>
      <c r="C4" s="21"/>
      <c r="D4" s="21"/>
      <c r="E4" s="20"/>
      <c r="F4" s="42"/>
      <c r="G4" s="23" t="str">
        <f aca="true">IF($F4="","",TODAY()-$F4)</f>
        <v/>
      </c>
      <c r="H4" s="21"/>
      <c r="I4" s="21"/>
    </row>
    <row r="5" customFormat="false" ht="15" hidden="false" customHeight="false" outlineLevel="0" collapsed="false">
      <c r="A5" s="42"/>
      <c r="B5" s="21"/>
      <c r="C5" s="21"/>
      <c r="D5" s="21"/>
      <c r="E5" s="20"/>
      <c r="F5" s="42"/>
      <c r="G5" s="23" t="str">
        <f aca="true">IF($F5="","",TODAY()-$F5)</f>
        <v/>
      </c>
      <c r="H5" s="21"/>
      <c r="I5" s="21"/>
    </row>
    <row r="6" customFormat="false" ht="15" hidden="false" customHeight="false" outlineLevel="0" collapsed="false">
      <c r="A6" s="42"/>
      <c r="B6" s="21"/>
      <c r="C6" s="21"/>
      <c r="D6" s="21"/>
      <c r="E6" s="20"/>
      <c r="F6" s="42"/>
      <c r="G6" s="23" t="str">
        <f aca="true">IF($F6="","",TODAY()-$F6)</f>
        <v/>
      </c>
      <c r="H6" s="21"/>
      <c r="I6" s="21"/>
    </row>
    <row r="7" customFormat="false" ht="15" hidden="false" customHeight="false" outlineLevel="0" collapsed="false">
      <c r="A7" s="42"/>
      <c r="B7" s="21"/>
      <c r="C7" s="21"/>
      <c r="D7" s="21"/>
      <c r="E7" s="20"/>
      <c r="F7" s="42"/>
      <c r="G7" s="23" t="str">
        <f aca="true">IF($F7="","",TODAY()-$F7)</f>
        <v/>
      </c>
      <c r="H7" s="21"/>
      <c r="I7" s="21"/>
    </row>
    <row r="8" customFormat="false" ht="15" hidden="false" customHeight="false" outlineLevel="0" collapsed="false">
      <c r="A8" s="42"/>
      <c r="B8" s="21"/>
      <c r="C8" s="21"/>
      <c r="D8" s="21"/>
      <c r="E8" s="20"/>
      <c r="F8" s="42"/>
      <c r="G8" s="23" t="str">
        <f aca="true">IF($F8="","",TODAY()-$F8)</f>
        <v/>
      </c>
      <c r="H8" s="21"/>
      <c r="I8" s="21"/>
    </row>
    <row r="9" customFormat="false" ht="15" hidden="false" customHeight="false" outlineLevel="0" collapsed="false">
      <c r="A9" s="42"/>
      <c r="B9" s="21"/>
      <c r="C9" s="21"/>
      <c r="D9" s="21"/>
      <c r="E9" s="20"/>
      <c r="F9" s="42"/>
      <c r="G9" s="23" t="str">
        <f aca="true">IF($F9="","",TODAY()-$F9)</f>
        <v/>
      </c>
      <c r="H9" s="21"/>
      <c r="I9" s="21"/>
    </row>
    <row r="10" customFormat="false" ht="15" hidden="false" customHeight="false" outlineLevel="0" collapsed="false">
      <c r="A10" s="42"/>
      <c r="B10" s="21"/>
      <c r="C10" s="21"/>
      <c r="D10" s="21"/>
      <c r="E10" s="20"/>
      <c r="F10" s="42"/>
      <c r="G10" s="23" t="str">
        <f aca="true">IF($F10="","",TODAY()-$F10)</f>
        <v/>
      </c>
      <c r="H10" s="21"/>
      <c r="I10" s="21"/>
    </row>
    <row r="11" customFormat="false" ht="15" hidden="false" customHeight="false" outlineLevel="0" collapsed="false">
      <c r="A11" s="42"/>
      <c r="B11" s="21"/>
      <c r="C11" s="21"/>
      <c r="D11" s="21"/>
      <c r="E11" s="20"/>
      <c r="F11" s="42"/>
      <c r="G11" s="23" t="str">
        <f aca="true">IF($F11="","",TODAY()-$F11)</f>
        <v/>
      </c>
      <c r="H11" s="21"/>
      <c r="I11" s="21"/>
    </row>
    <row r="12" customFormat="false" ht="15" hidden="false" customHeight="false" outlineLevel="0" collapsed="false">
      <c r="A12" s="42"/>
      <c r="B12" s="21"/>
      <c r="C12" s="21"/>
      <c r="D12" s="21"/>
      <c r="E12" s="20"/>
      <c r="F12" s="42"/>
      <c r="G12" s="23" t="str">
        <f aca="true">IF($F12="","",TODAY()-$F12)</f>
        <v/>
      </c>
      <c r="H12" s="21"/>
      <c r="I12" s="21"/>
    </row>
    <row r="13" customFormat="false" ht="15" hidden="false" customHeight="false" outlineLevel="0" collapsed="false">
      <c r="A13" s="42"/>
      <c r="B13" s="21"/>
      <c r="C13" s="21"/>
      <c r="D13" s="21"/>
      <c r="E13" s="20"/>
      <c r="F13" s="42"/>
      <c r="G13" s="23" t="str">
        <f aca="true">IF($F13="","",TODAY()-$F13)</f>
        <v/>
      </c>
      <c r="H13" s="21"/>
      <c r="I13" s="21"/>
    </row>
    <row r="14" customFormat="false" ht="15" hidden="false" customHeight="false" outlineLevel="0" collapsed="false">
      <c r="A14" s="42"/>
      <c r="B14" s="21"/>
      <c r="C14" s="21"/>
      <c r="D14" s="21"/>
      <c r="E14" s="20"/>
      <c r="F14" s="42"/>
      <c r="G14" s="23" t="str">
        <f aca="true">IF($F14="","",TODAY()-$F14)</f>
        <v/>
      </c>
      <c r="H14" s="21"/>
      <c r="I14" s="21"/>
    </row>
    <row r="15" customFormat="false" ht="15" hidden="false" customHeight="false" outlineLevel="0" collapsed="false">
      <c r="A15" s="42"/>
      <c r="B15" s="21"/>
      <c r="C15" s="21"/>
      <c r="D15" s="21"/>
      <c r="E15" s="20"/>
      <c r="F15" s="42"/>
      <c r="G15" s="23" t="str">
        <f aca="true">IF($F15="","",TODAY()-$F15)</f>
        <v/>
      </c>
      <c r="H15" s="21"/>
      <c r="I15" s="21"/>
    </row>
    <row r="16" customFormat="false" ht="15" hidden="false" customHeight="false" outlineLevel="0" collapsed="false">
      <c r="A16" s="42"/>
      <c r="B16" s="21"/>
      <c r="C16" s="21"/>
      <c r="D16" s="21"/>
      <c r="E16" s="20"/>
      <c r="F16" s="42"/>
      <c r="G16" s="23" t="str">
        <f aca="true">IF($F16="","",TODAY()-$F16)</f>
        <v/>
      </c>
      <c r="H16" s="21"/>
      <c r="I16" s="21"/>
    </row>
    <row r="17" customFormat="false" ht="15" hidden="false" customHeight="false" outlineLevel="0" collapsed="false">
      <c r="A17" s="42"/>
      <c r="B17" s="21"/>
      <c r="C17" s="21"/>
      <c r="D17" s="21"/>
      <c r="E17" s="20"/>
      <c r="F17" s="42"/>
      <c r="G17" s="23" t="str">
        <f aca="true">IF($F17="","",TODAY()-$F17)</f>
        <v/>
      </c>
      <c r="H17" s="21"/>
      <c r="I17" s="21"/>
    </row>
    <row r="18" customFormat="false" ht="15" hidden="false" customHeight="false" outlineLevel="0" collapsed="false">
      <c r="A18" s="42"/>
      <c r="B18" s="21"/>
      <c r="C18" s="21"/>
      <c r="D18" s="21"/>
      <c r="E18" s="20"/>
      <c r="F18" s="42"/>
      <c r="G18" s="23" t="str">
        <f aca="true">IF($F18="","",TODAY()-$F18)</f>
        <v/>
      </c>
      <c r="H18" s="21"/>
      <c r="I18" s="21"/>
    </row>
    <row r="19" customFormat="false" ht="15" hidden="false" customHeight="false" outlineLevel="0" collapsed="false">
      <c r="A19" s="42"/>
      <c r="B19" s="21"/>
      <c r="C19" s="21"/>
      <c r="D19" s="21"/>
      <c r="E19" s="20"/>
      <c r="F19" s="42"/>
      <c r="G19" s="23" t="str">
        <f aca="true">IF($F19="","",TODAY()-$F19)</f>
        <v/>
      </c>
      <c r="H19" s="21"/>
      <c r="I19" s="21"/>
    </row>
    <row r="20" customFormat="false" ht="15" hidden="false" customHeight="false" outlineLevel="0" collapsed="false">
      <c r="A20" s="42"/>
      <c r="B20" s="21"/>
      <c r="C20" s="21"/>
      <c r="D20" s="21"/>
      <c r="E20" s="20"/>
      <c r="F20" s="42"/>
      <c r="G20" s="23" t="str">
        <f aca="true">IF($F20="","",TODAY()-$F20)</f>
        <v/>
      </c>
      <c r="H20" s="21"/>
      <c r="I20" s="21"/>
    </row>
    <row r="21" customFormat="false" ht="15" hidden="false" customHeight="false" outlineLevel="0" collapsed="false">
      <c r="A21" s="42"/>
      <c r="B21" s="21"/>
      <c r="C21" s="21"/>
      <c r="D21" s="21"/>
      <c r="E21" s="20"/>
      <c r="F21" s="42"/>
      <c r="G21" s="23" t="str">
        <f aca="true">IF($F21="","",TODAY()-$F21)</f>
        <v/>
      </c>
      <c r="H21" s="21"/>
      <c r="I21" s="21"/>
    </row>
    <row r="22" customFormat="false" ht="15" hidden="false" customHeight="false" outlineLevel="0" collapsed="false">
      <c r="A22" s="42"/>
      <c r="B22" s="21"/>
      <c r="C22" s="21"/>
      <c r="D22" s="21"/>
      <c r="E22" s="20"/>
      <c r="F22" s="42"/>
      <c r="G22" s="23" t="str">
        <f aca="true">IF($F22="","",TODAY()-$F22)</f>
        <v/>
      </c>
      <c r="H22" s="21"/>
      <c r="I22" s="21"/>
    </row>
    <row r="23" customFormat="false" ht="15" hidden="false" customHeight="false" outlineLevel="0" collapsed="false">
      <c r="A23" s="42"/>
      <c r="B23" s="21"/>
      <c r="C23" s="21"/>
      <c r="D23" s="21"/>
      <c r="E23" s="20"/>
      <c r="F23" s="42"/>
      <c r="G23" s="23" t="str">
        <f aca="true">IF($F23="","",TODAY()-$F23)</f>
        <v/>
      </c>
      <c r="H23" s="21"/>
      <c r="I23" s="21"/>
    </row>
    <row r="24" customFormat="false" ht="15" hidden="false" customHeight="false" outlineLevel="0" collapsed="false">
      <c r="A24" s="42"/>
      <c r="B24" s="21"/>
      <c r="C24" s="21"/>
      <c r="D24" s="21"/>
      <c r="E24" s="20"/>
      <c r="F24" s="42"/>
      <c r="G24" s="23" t="str">
        <f aca="true">IF($F24="","",TODAY()-$F24)</f>
        <v/>
      </c>
      <c r="H24" s="21"/>
      <c r="I24" s="21"/>
    </row>
    <row r="25" customFormat="false" ht="15" hidden="false" customHeight="false" outlineLevel="0" collapsed="false">
      <c r="A25" s="42"/>
      <c r="B25" s="21"/>
      <c r="C25" s="21"/>
      <c r="D25" s="21"/>
      <c r="E25" s="20"/>
      <c r="F25" s="42"/>
      <c r="G25" s="23" t="str">
        <f aca="true">IF($F25="","",TODAY()-$F25)</f>
        <v/>
      </c>
      <c r="H25" s="21"/>
      <c r="I25" s="21"/>
    </row>
    <row r="26" customFormat="false" ht="15" hidden="false" customHeight="false" outlineLevel="0" collapsed="false">
      <c r="A26" s="42"/>
      <c r="B26" s="21"/>
      <c r="C26" s="21"/>
      <c r="D26" s="21"/>
      <c r="E26" s="20"/>
      <c r="F26" s="42"/>
      <c r="G26" s="23" t="str">
        <f aca="true">IF($F26="","",TODAY()-$F26)</f>
        <v/>
      </c>
      <c r="H26" s="21"/>
      <c r="I26" s="21"/>
    </row>
    <row r="27" customFormat="false" ht="15" hidden="false" customHeight="false" outlineLevel="0" collapsed="false">
      <c r="A27" s="42"/>
      <c r="B27" s="21"/>
      <c r="C27" s="21"/>
      <c r="D27" s="21"/>
      <c r="E27" s="20"/>
      <c r="F27" s="42"/>
      <c r="G27" s="23" t="str">
        <f aca="true">IF($F27="","",TODAY()-$F27)</f>
        <v/>
      </c>
      <c r="H27" s="21"/>
      <c r="I27" s="21"/>
    </row>
    <row r="28" customFormat="false" ht="15" hidden="false" customHeight="false" outlineLevel="0" collapsed="false">
      <c r="A28" s="42"/>
      <c r="B28" s="21"/>
      <c r="C28" s="21"/>
      <c r="D28" s="21"/>
      <c r="E28" s="20"/>
      <c r="F28" s="42"/>
      <c r="G28" s="23" t="str">
        <f aca="true">IF($F28="","",TODAY()-$F28)</f>
        <v/>
      </c>
      <c r="H28" s="21"/>
      <c r="I28" s="21"/>
    </row>
    <row r="29" customFormat="false" ht="15" hidden="false" customHeight="false" outlineLevel="0" collapsed="false">
      <c r="A29" s="42"/>
      <c r="B29" s="21"/>
      <c r="C29" s="21"/>
      <c r="D29" s="21"/>
      <c r="E29" s="20"/>
      <c r="F29" s="42"/>
      <c r="G29" s="23" t="str">
        <f aca="true">IF($F29="","",TODAY()-$F29)</f>
        <v/>
      </c>
      <c r="H29" s="21"/>
      <c r="I29" s="21"/>
    </row>
    <row r="30" customFormat="false" ht="15" hidden="false" customHeight="false" outlineLevel="0" collapsed="false">
      <c r="A30" s="42"/>
      <c r="B30" s="21"/>
      <c r="C30" s="21"/>
      <c r="D30" s="21"/>
      <c r="E30" s="20"/>
      <c r="F30" s="42"/>
      <c r="G30" s="23" t="str">
        <f aca="true">IF($F30="","",TODAY()-$F30)</f>
        <v/>
      </c>
      <c r="H30" s="21"/>
      <c r="I30" s="21"/>
    </row>
    <row r="31" customFormat="false" ht="15" hidden="false" customHeight="false" outlineLevel="0" collapsed="false">
      <c r="A31" s="42"/>
      <c r="B31" s="21"/>
      <c r="C31" s="21"/>
      <c r="D31" s="21"/>
      <c r="E31" s="20"/>
      <c r="F31" s="42"/>
      <c r="G31" s="23" t="str">
        <f aca="true">IF($F31="","",TODAY()-$F31)</f>
        <v/>
      </c>
      <c r="H31" s="21"/>
      <c r="I31" s="21"/>
    </row>
    <row r="32" customFormat="false" ht="15" hidden="false" customHeight="false" outlineLevel="0" collapsed="false">
      <c r="A32" s="42"/>
      <c r="B32" s="21"/>
      <c r="C32" s="21"/>
      <c r="D32" s="21"/>
      <c r="E32" s="20"/>
      <c r="F32" s="42"/>
      <c r="G32" s="23" t="str">
        <f aca="true">IF($F32="","",TODAY()-$F32)</f>
        <v/>
      </c>
      <c r="H32" s="21"/>
      <c r="I32" s="21"/>
    </row>
    <row r="33" customFormat="false" ht="15" hidden="false" customHeight="false" outlineLevel="0" collapsed="false">
      <c r="A33" s="42"/>
      <c r="B33" s="21"/>
      <c r="C33" s="21"/>
      <c r="D33" s="21"/>
      <c r="E33" s="20"/>
      <c r="F33" s="42"/>
      <c r="G33" s="23" t="str">
        <f aca="true">IF($F33="","",TODAY()-$F33)</f>
        <v/>
      </c>
      <c r="H33" s="21"/>
      <c r="I33" s="21"/>
    </row>
    <row r="34" customFormat="false" ht="15" hidden="false" customHeight="false" outlineLevel="0" collapsed="false">
      <c r="A34" s="42"/>
      <c r="B34" s="21"/>
      <c r="C34" s="21"/>
      <c r="D34" s="21"/>
      <c r="E34" s="20"/>
      <c r="F34" s="42"/>
      <c r="G34" s="23" t="str">
        <f aca="true">IF($F34="","",TODAY()-$F34)</f>
        <v/>
      </c>
      <c r="H34" s="21"/>
      <c r="I34" s="21"/>
    </row>
    <row r="35" customFormat="false" ht="15" hidden="false" customHeight="false" outlineLevel="0" collapsed="false">
      <c r="A35" s="42"/>
      <c r="B35" s="21"/>
      <c r="C35" s="21"/>
      <c r="D35" s="21"/>
      <c r="E35" s="20"/>
      <c r="F35" s="42"/>
      <c r="G35" s="23" t="str">
        <f aca="true">IF($F35="","",TODAY()-$F35)</f>
        <v/>
      </c>
      <c r="H35" s="21"/>
      <c r="I35" s="21"/>
    </row>
    <row r="36" customFormat="false" ht="15" hidden="false" customHeight="false" outlineLevel="0" collapsed="false">
      <c r="A36" s="42"/>
      <c r="B36" s="21"/>
      <c r="C36" s="21"/>
      <c r="D36" s="21"/>
      <c r="E36" s="20"/>
      <c r="F36" s="42"/>
      <c r="G36" s="23" t="str">
        <f aca="true">IF($F36="","",TODAY()-$F36)</f>
        <v/>
      </c>
      <c r="H36" s="21"/>
      <c r="I36" s="21"/>
    </row>
    <row r="37" customFormat="false" ht="15" hidden="false" customHeight="false" outlineLevel="0" collapsed="false">
      <c r="A37" s="42"/>
      <c r="B37" s="21"/>
      <c r="C37" s="21"/>
      <c r="D37" s="21"/>
      <c r="E37" s="20"/>
      <c r="F37" s="42"/>
      <c r="G37" s="23" t="str">
        <f aca="true">IF($F37="","",TODAY()-$F37)</f>
        <v/>
      </c>
      <c r="H37" s="21"/>
      <c r="I37" s="21"/>
    </row>
    <row r="38" customFormat="false" ht="15" hidden="false" customHeight="false" outlineLevel="0" collapsed="false">
      <c r="A38" s="42"/>
      <c r="B38" s="21"/>
      <c r="C38" s="21"/>
      <c r="D38" s="21"/>
      <c r="E38" s="20"/>
      <c r="F38" s="42"/>
      <c r="G38" s="23" t="str">
        <f aca="true">IF($F38="","",TODAY()-$F38)</f>
        <v/>
      </c>
      <c r="H38" s="21"/>
      <c r="I38" s="21"/>
    </row>
    <row r="39" customFormat="false" ht="15" hidden="false" customHeight="false" outlineLevel="0" collapsed="false">
      <c r="A39" s="42"/>
      <c r="B39" s="21"/>
      <c r="C39" s="21"/>
      <c r="D39" s="21"/>
      <c r="E39" s="20"/>
      <c r="F39" s="42"/>
      <c r="G39" s="23" t="str">
        <f aca="true">IF($F39="","",TODAY()-$F39)</f>
        <v/>
      </c>
      <c r="H39" s="21"/>
      <c r="I39" s="21"/>
    </row>
    <row r="40" customFormat="false" ht="15" hidden="false" customHeight="false" outlineLevel="0" collapsed="false">
      <c r="A40" s="42"/>
      <c r="B40" s="21"/>
      <c r="C40" s="21"/>
      <c r="D40" s="21"/>
      <c r="E40" s="20"/>
      <c r="F40" s="42"/>
      <c r="G40" s="23" t="str">
        <f aca="true">IF($F40="","",TODAY()-$F40)</f>
        <v/>
      </c>
      <c r="H40" s="21"/>
      <c r="I40" s="21"/>
    </row>
    <row r="41" customFormat="false" ht="15" hidden="false" customHeight="false" outlineLevel="0" collapsed="false">
      <c r="A41" s="42"/>
      <c r="B41" s="21"/>
      <c r="C41" s="21"/>
      <c r="D41" s="21"/>
      <c r="E41" s="20"/>
      <c r="F41" s="42"/>
      <c r="G41" s="23" t="str">
        <f aca="true">IF($F41="","",TODAY()-$F41)</f>
        <v/>
      </c>
      <c r="H41" s="21"/>
      <c r="I41" s="21"/>
    </row>
    <row r="42" customFormat="false" ht="15" hidden="false" customHeight="false" outlineLevel="0" collapsed="false">
      <c r="A42" s="42"/>
      <c r="B42" s="21"/>
      <c r="C42" s="21"/>
      <c r="D42" s="21"/>
      <c r="E42" s="20"/>
      <c r="F42" s="42"/>
      <c r="G42" s="23" t="str">
        <f aca="true">IF($F42="","",TODAY()-$F42)</f>
        <v/>
      </c>
      <c r="H42" s="21"/>
      <c r="I42" s="21"/>
    </row>
    <row r="43" customFormat="false" ht="15" hidden="false" customHeight="false" outlineLevel="0" collapsed="false">
      <c r="A43" s="42"/>
      <c r="B43" s="21"/>
      <c r="C43" s="21"/>
      <c r="D43" s="21"/>
      <c r="E43" s="20"/>
      <c r="F43" s="42"/>
      <c r="G43" s="23" t="str">
        <f aca="true">IF($F43="","",TODAY()-$F43)</f>
        <v/>
      </c>
      <c r="H43" s="21"/>
      <c r="I43" s="21"/>
    </row>
    <row r="44" customFormat="false" ht="15" hidden="false" customHeight="false" outlineLevel="0" collapsed="false">
      <c r="A44" s="42"/>
      <c r="B44" s="21"/>
      <c r="C44" s="21"/>
      <c r="D44" s="21"/>
      <c r="E44" s="20"/>
      <c r="F44" s="42"/>
      <c r="G44" s="23" t="str">
        <f aca="true">IF($F44="","",TODAY()-$F44)</f>
        <v/>
      </c>
      <c r="H44" s="21"/>
      <c r="I44" s="21"/>
    </row>
    <row r="45" customFormat="false" ht="15" hidden="false" customHeight="false" outlineLevel="0" collapsed="false">
      <c r="A45" s="42"/>
      <c r="B45" s="21"/>
      <c r="C45" s="21"/>
      <c r="D45" s="21"/>
      <c r="E45" s="20"/>
      <c r="F45" s="42"/>
      <c r="G45" s="23" t="str">
        <f aca="true">IF($F45="","",TODAY()-$F45)</f>
        <v/>
      </c>
      <c r="H45" s="21"/>
      <c r="I45" s="21"/>
    </row>
    <row r="46" customFormat="false" ht="15" hidden="false" customHeight="false" outlineLevel="0" collapsed="false">
      <c r="A46" s="42"/>
      <c r="B46" s="21"/>
      <c r="C46" s="21"/>
      <c r="D46" s="21"/>
      <c r="E46" s="20"/>
      <c r="F46" s="42"/>
      <c r="G46" s="23" t="str">
        <f aca="true">IF($F46="","",TODAY()-$F46)</f>
        <v/>
      </c>
      <c r="H46" s="21"/>
      <c r="I46" s="21"/>
    </row>
    <row r="47" customFormat="false" ht="15" hidden="false" customHeight="false" outlineLevel="0" collapsed="false">
      <c r="A47" s="42"/>
      <c r="B47" s="21"/>
      <c r="C47" s="21"/>
      <c r="D47" s="21"/>
      <c r="E47" s="20"/>
      <c r="F47" s="42"/>
      <c r="G47" s="23" t="str">
        <f aca="true">IF($F47="","",TODAY()-$F47)</f>
        <v/>
      </c>
      <c r="H47" s="21"/>
      <c r="I47" s="21"/>
    </row>
    <row r="48" customFormat="false" ht="15" hidden="false" customHeight="false" outlineLevel="0" collapsed="false">
      <c r="A48" s="42"/>
      <c r="B48" s="21"/>
      <c r="C48" s="21"/>
      <c r="D48" s="21"/>
      <c r="E48" s="20"/>
      <c r="F48" s="42"/>
      <c r="G48" s="23" t="str">
        <f aca="true">IF($F48="","",TODAY()-$F48)</f>
        <v/>
      </c>
      <c r="H48" s="21"/>
      <c r="I48" s="21"/>
    </row>
    <row r="49" customFormat="false" ht="15" hidden="false" customHeight="false" outlineLevel="0" collapsed="false">
      <c r="A49" s="42"/>
      <c r="B49" s="21"/>
      <c r="C49" s="21"/>
      <c r="D49" s="21"/>
      <c r="E49" s="20"/>
      <c r="F49" s="42"/>
      <c r="G49" s="23" t="str">
        <f aca="true">IF($F49="","",TODAY()-$F49)</f>
        <v/>
      </c>
      <c r="H49" s="21"/>
      <c r="I49" s="21"/>
    </row>
    <row r="50" customFormat="false" ht="15" hidden="false" customHeight="false" outlineLevel="0" collapsed="false">
      <c r="A50" s="42"/>
      <c r="B50" s="21"/>
      <c r="C50" s="21"/>
      <c r="D50" s="21"/>
      <c r="E50" s="20"/>
      <c r="F50" s="42"/>
      <c r="G50" s="23" t="str">
        <f aca="true">IF($F50="","",TODAY()-$F50)</f>
        <v/>
      </c>
      <c r="H50" s="21"/>
      <c r="I50" s="21"/>
    </row>
    <row r="51" customFormat="false" ht="15" hidden="false" customHeight="false" outlineLevel="0" collapsed="false">
      <c r="A51" s="42"/>
      <c r="B51" s="21"/>
      <c r="C51" s="21"/>
      <c r="D51" s="21"/>
      <c r="E51" s="20"/>
      <c r="F51" s="42"/>
      <c r="G51" s="23" t="str">
        <f aca="true">IF($F51="","",TODAY()-$F51)</f>
        <v/>
      </c>
      <c r="H51" s="21"/>
      <c r="I51" s="21"/>
    </row>
    <row r="52" customFormat="false" ht="15" hidden="false" customHeight="false" outlineLevel="0" collapsed="false">
      <c r="A52" s="42"/>
      <c r="B52" s="21"/>
      <c r="C52" s="21"/>
      <c r="D52" s="21"/>
      <c r="E52" s="20"/>
      <c r="F52" s="42"/>
      <c r="G52" s="23" t="str">
        <f aca="true">IF($F52="","",TODAY()-$F52)</f>
        <v/>
      </c>
      <c r="H52" s="21"/>
      <c r="I52" s="21"/>
    </row>
    <row r="53" customFormat="false" ht="15" hidden="false" customHeight="false" outlineLevel="0" collapsed="false">
      <c r="A53" s="42"/>
      <c r="B53" s="21"/>
      <c r="C53" s="21"/>
      <c r="D53" s="21"/>
      <c r="E53" s="20"/>
      <c r="F53" s="42"/>
      <c r="G53" s="23" t="str">
        <f aca="true">IF($F53="","",TODAY()-$F53)</f>
        <v/>
      </c>
      <c r="H53" s="21"/>
      <c r="I53" s="21"/>
    </row>
    <row r="54" customFormat="false" ht="15" hidden="false" customHeight="false" outlineLevel="0" collapsed="false">
      <c r="A54" s="42"/>
      <c r="B54" s="21"/>
      <c r="C54" s="21"/>
      <c r="D54" s="21"/>
      <c r="E54" s="20"/>
      <c r="F54" s="42"/>
      <c r="G54" s="23" t="str">
        <f aca="true">IF($F54="","",TODAY()-$F54)</f>
        <v/>
      </c>
      <c r="H54" s="21"/>
      <c r="I54" s="21"/>
    </row>
    <row r="55" customFormat="false" ht="15" hidden="false" customHeight="false" outlineLevel="0" collapsed="false">
      <c r="A55" s="42"/>
      <c r="B55" s="21"/>
      <c r="C55" s="21"/>
      <c r="D55" s="21"/>
      <c r="E55" s="20"/>
      <c r="F55" s="42"/>
      <c r="G55" s="23" t="str">
        <f aca="true">IF($F55="","",TODAY()-$F55)</f>
        <v/>
      </c>
      <c r="H55" s="21"/>
      <c r="I55" s="21"/>
    </row>
    <row r="56" customFormat="false" ht="15" hidden="false" customHeight="false" outlineLevel="0" collapsed="false">
      <c r="A56" s="42"/>
      <c r="B56" s="21"/>
      <c r="C56" s="21"/>
      <c r="D56" s="21"/>
      <c r="E56" s="20"/>
      <c r="F56" s="42"/>
      <c r="G56" s="23" t="str">
        <f aca="true">IF($F56="","",TODAY()-$F56)</f>
        <v/>
      </c>
      <c r="H56" s="21"/>
      <c r="I56" s="21"/>
    </row>
    <row r="57" customFormat="false" ht="15" hidden="false" customHeight="false" outlineLevel="0" collapsed="false">
      <c r="A57" s="42"/>
      <c r="B57" s="21"/>
      <c r="C57" s="21"/>
      <c r="D57" s="21"/>
      <c r="E57" s="20"/>
      <c r="F57" s="42"/>
      <c r="G57" s="23" t="str">
        <f aca="true">IF($F57="","",TODAY()-$F57)</f>
        <v/>
      </c>
      <c r="H57" s="21"/>
      <c r="I57" s="21"/>
    </row>
    <row r="58" customFormat="false" ht="15" hidden="false" customHeight="false" outlineLevel="0" collapsed="false">
      <c r="A58" s="42"/>
      <c r="B58" s="21"/>
      <c r="C58" s="21"/>
      <c r="D58" s="21"/>
      <c r="E58" s="20"/>
      <c r="F58" s="42"/>
      <c r="G58" s="23" t="str">
        <f aca="true">IF($F58="","",TODAY()-$F58)</f>
        <v/>
      </c>
      <c r="H58" s="21"/>
      <c r="I58" s="21"/>
    </row>
    <row r="59" customFormat="false" ht="15" hidden="false" customHeight="false" outlineLevel="0" collapsed="false">
      <c r="A59" s="42"/>
      <c r="B59" s="21"/>
      <c r="C59" s="21"/>
      <c r="D59" s="21"/>
      <c r="E59" s="20"/>
      <c r="F59" s="42"/>
      <c r="G59" s="23" t="str">
        <f aca="true">IF($F59="","",TODAY()-$F59)</f>
        <v/>
      </c>
      <c r="H59" s="21"/>
      <c r="I59" s="21"/>
    </row>
    <row r="60" customFormat="false" ht="15" hidden="false" customHeight="false" outlineLevel="0" collapsed="false">
      <c r="A60" s="42"/>
      <c r="B60" s="21"/>
      <c r="C60" s="21"/>
      <c r="D60" s="21"/>
      <c r="E60" s="20"/>
      <c r="F60" s="42"/>
      <c r="G60" s="23" t="str">
        <f aca="true">IF($F60="","",TODAY()-$F60)</f>
        <v/>
      </c>
      <c r="H60" s="21"/>
      <c r="I60" s="21"/>
    </row>
    <row r="61" customFormat="false" ht="15" hidden="false" customHeight="false" outlineLevel="0" collapsed="false">
      <c r="A61" s="42"/>
      <c r="B61" s="21"/>
      <c r="C61" s="21"/>
      <c r="D61" s="21"/>
      <c r="E61" s="20"/>
      <c r="F61" s="42"/>
      <c r="G61" s="23" t="str">
        <f aca="true">IF($F61="","",TODAY()-$F61)</f>
        <v/>
      </c>
      <c r="H61" s="21"/>
      <c r="I61" s="21"/>
    </row>
    <row r="62" customFormat="false" ht="15" hidden="false" customHeight="false" outlineLevel="0" collapsed="false">
      <c r="A62" s="42"/>
      <c r="B62" s="21"/>
      <c r="C62" s="21"/>
      <c r="D62" s="21"/>
      <c r="E62" s="20"/>
      <c r="F62" s="42"/>
      <c r="G62" s="23" t="str">
        <f aca="true">IF($F62="","",TODAY()-$F62)</f>
        <v/>
      </c>
      <c r="H62" s="21"/>
      <c r="I62" s="21"/>
    </row>
    <row r="63" customFormat="false" ht="15" hidden="false" customHeight="false" outlineLevel="0" collapsed="false">
      <c r="A63" s="42"/>
      <c r="B63" s="21"/>
      <c r="C63" s="21"/>
      <c r="D63" s="21"/>
      <c r="E63" s="20"/>
      <c r="F63" s="42"/>
      <c r="G63" s="23" t="str">
        <f aca="true">IF($F63="","",TODAY()-$F63)</f>
        <v/>
      </c>
      <c r="H63" s="21"/>
      <c r="I63" s="21"/>
    </row>
    <row r="64" customFormat="false" ht="15" hidden="false" customHeight="false" outlineLevel="0" collapsed="false">
      <c r="A64" s="42"/>
      <c r="B64" s="21"/>
      <c r="C64" s="21"/>
      <c r="D64" s="21"/>
      <c r="E64" s="20"/>
      <c r="F64" s="42"/>
      <c r="G64" s="23" t="str">
        <f aca="true">IF($F64="","",TODAY()-$F64)</f>
        <v/>
      </c>
      <c r="H64" s="21"/>
      <c r="I64" s="21"/>
    </row>
    <row r="65" customFormat="false" ht="15" hidden="false" customHeight="false" outlineLevel="0" collapsed="false">
      <c r="A65" s="42"/>
      <c r="B65" s="21"/>
      <c r="C65" s="21"/>
      <c r="D65" s="21"/>
      <c r="E65" s="20"/>
      <c r="F65" s="42"/>
      <c r="G65" s="23" t="str">
        <f aca="true">IF($F65="","",TODAY()-$F65)</f>
        <v/>
      </c>
      <c r="H65" s="21"/>
      <c r="I65" s="21"/>
    </row>
    <row r="66" customFormat="false" ht="15" hidden="false" customHeight="false" outlineLevel="0" collapsed="false">
      <c r="A66" s="42"/>
      <c r="B66" s="21"/>
      <c r="C66" s="21"/>
      <c r="D66" s="21"/>
      <c r="E66" s="20"/>
      <c r="F66" s="42"/>
      <c r="G66" s="23" t="str">
        <f aca="true">IF($F66="","",TODAY()-$F66)</f>
        <v/>
      </c>
      <c r="H66" s="21"/>
      <c r="I66" s="21"/>
    </row>
    <row r="67" customFormat="false" ht="15" hidden="false" customHeight="false" outlineLevel="0" collapsed="false">
      <c r="A67" s="42"/>
      <c r="B67" s="21"/>
      <c r="C67" s="21"/>
      <c r="D67" s="21"/>
      <c r="E67" s="20"/>
      <c r="F67" s="42"/>
      <c r="G67" s="23" t="str">
        <f aca="true">IF($F67="","",TODAY()-$F67)</f>
        <v/>
      </c>
      <c r="H67" s="21"/>
      <c r="I67" s="21"/>
    </row>
    <row r="68" customFormat="false" ht="15" hidden="false" customHeight="false" outlineLevel="0" collapsed="false">
      <c r="A68" s="42"/>
      <c r="B68" s="21"/>
      <c r="C68" s="21"/>
      <c r="D68" s="21"/>
      <c r="E68" s="20"/>
      <c r="F68" s="42"/>
      <c r="G68" s="23" t="str">
        <f aca="true">IF($F68="","",TODAY()-$F68)</f>
        <v/>
      </c>
      <c r="H68" s="21"/>
      <c r="I68" s="21"/>
    </row>
    <row r="69" customFormat="false" ht="15" hidden="false" customHeight="false" outlineLevel="0" collapsed="false">
      <c r="A69" s="42"/>
      <c r="B69" s="21"/>
      <c r="C69" s="21"/>
      <c r="D69" s="21"/>
      <c r="E69" s="20"/>
      <c r="F69" s="42"/>
      <c r="G69" s="23" t="str">
        <f aca="true">IF($F69="","",TODAY()-$F69)</f>
        <v/>
      </c>
      <c r="H69" s="21"/>
      <c r="I69" s="21"/>
    </row>
    <row r="70" customFormat="false" ht="15" hidden="false" customHeight="false" outlineLevel="0" collapsed="false">
      <c r="A70" s="42"/>
      <c r="B70" s="21"/>
      <c r="C70" s="21"/>
      <c r="D70" s="21"/>
      <c r="E70" s="20"/>
      <c r="F70" s="42"/>
      <c r="G70" s="23" t="str">
        <f aca="true">IF($F70="","",TODAY()-$F70)</f>
        <v/>
      </c>
      <c r="H70" s="21"/>
      <c r="I70" s="21"/>
    </row>
    <row r="71" customFormat="false" ht="15" hidden="false" customHeight="false" outlineLevel="0" collapsed="false">
      <c r="A71" s="42"/>
      <c r="B71" s="21"/>
      <c r="C71" s="21"/>
      <c r="D71" s="21"/>
      <c r="E71" s="20"/>
      <c r="F71" s="42"/>
      <c r="G71" s="23" t="str">
        <f aca="true">IF($F71="","",TODAY()-$F71)</f>
        <v/>
      </c>
      <c r="H71" s="21"/>
      <c r="I71" s="21"/>
    </row>
    <row r="72" customFormat="false" ht="15" hidden="false" customHeight="false" outlineLevel="0" collapsed="false">
      <c r="A72" s="42"/>
      <c r="B72" s="21"/>
      <c r="C72" s="21"/>
      <c r="D72" s="21"/>
      <c r="E72" s="20"/>
      <c r="F72" s="42"/>
      <c r="G72" s="23" t="str">
        <f aca="true">IF($F72="","",TODAY()-$F72)</f>
        <v/>
      </c>
      <c r="H72" s="21"/>
      <c r="I72" s="21"/>
    </row>
    <row r="73" customFormat="false" ht="15" hidden="false" customHeight="false" outlineLevel="0" collapsed="false">
      <c r="A73" s="42"/>
      <c r="B73" s="21"/>
      <c r="C73" s="21"/>
      <c r="D73" s="21"/>
      <c r="E73" s="20"/>
      <c r="F73" s="42"/>
      <c r="G73" s="23" t="str">
        <f aca="true">IF($F73="","",TODAY()-$F73)</f>
        <v/>
      </c>
      <c r="H73" s="21"/>
      <c r="I73" s="21"/>
    </row>
    <row r="74" customFormat="false" ht="15" hidden="false" customHeight="false" outlineLevel="0" collapsed="false">
      <c r="A74" s="42"/>
      <c r="B74" s="21"/>
      <c r="C74" s="21"/>
      <c r="D74" s="21"/>
      <c r="E74" s="20"/>
      <c r="F74" s="42"/>
      <c r="G74" s="23" t="str">
        <f aca="true">IF($F74="","",TODAY()-$F74)</f>
        <v/>
      </c>
      <c r="H74" s="21"/>
      <c r="I74" s="21"/>
    </row>
    <row r="75" customFormat="false" ht="15" hidden="false" customHeight="false" outlineLevel="0" collapsed="false">
      <c r="A75" s="42"/>
      <c r="B75" s="21"/>
      <c r="C75" s="21"/>
      <c r="D75" s="21"/>
      <c r="E75" s="20"/>
      <c r="F75" s="42"/>
      <c r="G75" s="23" t="str">
        <f aca="true">IF($F75="","",TODAY()-$F75)</f>
        <v/>
      </c>
      <c r="H75" s="21"/>
      <c r="I75" s="21"/>
    </row>
    <row r="76" customFormat="false" ht="15" hidden="false" customHeight="false" outlineLevel="0" collapsed="false">
      <c r="A76" s="42"/>
      <c r="B76" s="21"/>
      <c r="C76" s="21"/>
      <c r="D76" s="21"/>
      <c r="E76" s="20"/>
      <c r="F76" s="42"/>
      <c r="G76" s="23" t="str">
        <f aca="true">IF($F76="","",TODAY()-$F76)</f>
        <v/>
      </c>
      <c r="H76" s="21"/>
      <c r="I76" s="21"/>
    </row>
    <row r="77" customFormat="false" ht="15" hidden="false" customHeight="false" outlineLevel="0" collapsed="false">
      <c r="A77" s="42"/>
      <c r="B77" s="21"/>
      <c r="C77" s="21"/>
      <c r="D77" s="21"/>
      <c r="E77" s="20"/>
      <c r="F77" s="42"/>
      <c r="G77" s="23" t="str">
        <f aca="true">IF($F77="","",TODAY()-$F77)</f>
        <v/>
      </c>
      <c r="H77" s="21"/>
      <c r="I77" s="21"/>
    </row>
    <row r="78" customFormat="false" ht="15" hidden="false" customHeight="false" outlineLevel="0" collapsed="false">
      <c r="A78" s="42"/>
      <c r="B78" s="21"/>
      <c r="C78" s="21"/>
      <c r="D78" s="21"/>
      <c r="E78" s="20"/>
      <c r="F78" s="42"/>
      <c r="G78" s="23" t="str">
        <f aca="true">IF($F78="","",TODAY()-$F78)</f>
        <v/>
      </c>
      <c r="H78" s="21"/>
      <c r="I78" s="21"/>
    </row>
    <row r="79" customFormat="false" ht="15" hidden="false" customHeight="false" outlineLevel="0" collapsed="false">
      <c r="A79" s="42"/>
      <c r="B79" s="21"/>
      <c r="C79" s="21"/>
      <c r="D79" s="21"/>
      <c r="E79" s="20"/>
      <c r="F79" s="42"/>
      <c r="G79" s="23" t="str">
        <f aca="true">IF($F79="","",TODAY()-$F79)</f>
        <v/>
      </c>
      <c r="H79" s="21"/>
      <c r="I79" s="21"/>
    </row>
    <row r="80" customFormat="false" ht="15" hidden="false" customHeight="false" outlineLevel="0" collapsed="false">
      <c r="A80" s="42"/>
      <c r="B80" s="21"/>
      <c r="C80" s="21"/>
      <c r="D80" s="21"/>
      <c r="E80" s="20"/>
      <c r="F80" s="42"/>
      <c r="G80" s="23" t="str">
        <f aca="true">IF($F80="","",TODAY()-$F80)</f>
        <v/>
      </c>
      <c r="H80" s="21"/>
      <c r="I80" s="21"/>
    </row>
    <row r="81" customFormat="false" ht="15" hidden="false" customHeight="false" outlineLevel="0" collapsed="false">
      <c r="A81" s="42"/>
      <c r="B81" s="21"/>
      <c r="C81" s="21"/>
      <c r="D81" s="21"/>
      <c r="E81" s="20"/>
      <c r="F81" s="42"/>
      <c r="G81" s="23" t="str">
        <f aca="true">IF($F81="","",TODAY()-$F81)</f>
        <v/>
      </c>
      <c r="H81" s="21"/>
      <c r="I81" s="21"/>
    </row>
    <row r="82" customFormat="false" ht="15" hidden="false" customHeight="false" outlineLevel="0" collapsed="false">
      <c r="A82" s="42"/>
      <c r="B82" s="21"/>
      <c r="C82" s="21"/>
      <c r="D82" s="21"/>
      <c r="E82" s="20"/>
      <c r="F82" s="42"/>
      <c r="G82" s="23" t="str">
        <f aca="true">IF($F82="","",TODAY()-$F82)</f>
        <v/>
      </c>
      <c r="H82" s="21"/>
      <c r="I82" s="21"/>
    </row>
    <row r="83" customFormat="false" ht="15" hidden="false" customHeight="false" outlineLevel="0" collapsed="false">
      <c r="A83" s="42"/>
      <c r="B83" s="21"/>
      <c r="C83" s="21"/>
      <c r="D83" s="21"/>
      <c r="E83" s="20"/>
      <c r="F83" s="42"/>
      <c r="G83" s="23" t="str">
        <f aca="true">IF($F83="","",TODAY()-$F83)</f>
        <v/>
      </c>
      <c r="H83" s="21"/>
      <c r="I83" s="21"/>
    </row>
    <row r="84" customFormat="false" ht="15" hidden="false" customHeight="false" outlineLevel="0" collapsed="false">
      <c r="A84" s="42"/>
      <c r="B84" s="21"/>
      <c r="C84" s="21"/>
      <c r="D84" s="21"/>
      <c r="E84" s="20"/>
      <c r="F84" s="42"/>
      <c r="G84" s="23" t="str">
        <f aca="true">IF($F84="","",TODAY()-$F84)</f>
        <v/>
      </c>
      <c r="H84" s="21"/>
      <c r="I84" s="21"/>
    </row>
    <row r="85" customFormat="false" ht="15" hidden="false" customHeight="false" outlineLevel="0" collapsed="false">
      <c r="A85" s="42"/>
      <c r="B85" s="21"/>
      <c r="C85" s="21"/>
      <c r="D85" s="21"/>
      <c r="E85" s="20"/>
      <c r="F85" s="42"/>
      <c r="G85" s="23" t="str">
        <f aca="true">IF($F85="","",TODAY()-$F85)</f>
        <v/>
      </c>
      <c r="H85" s="21"/>
      <c r="I85" s="21"/>
    </row>
    <row r="86" customFormat="false" ht="15" hidden="false" customHeight="false" outlineLevel="0" collapsed="false">
      <c r="A86" s="42"/>
      <c r="B86" s="21"/>
      <c r="C86" s="21"/>
      <c r="D86" s="21"/>
      <c r="E86" s="20"/>
      <c r="F86" s="42"/>
      <c r="G86" s="23" t="str">
        <f aca="true">IF($F86="","",TODAY()-$F86)</f>
        <v/>
      </c>
      <c r="H86" s="21"/>
      <c r="I86" s="21"/>
    </row>
    <row r="87" customFormat="false" ht="15" hidden="false" customHeight="false" outlineLevel="0" collapsed="false">
      <c r="A87" s="42"/>
      <c r="B87" s="21"/>
      <c r="C87" s="21"/>
      <c r="D87" s="21"/>
      <c r="E87" s="20"/>
      <c r="F87" s="42"/>
      <c r="G87" s="23" t="str">
        <f aca="true">IF($F87="","",TODAY()-$F87)</f>
        <v/>
      </c>
      <c r="H87" s="21"/>
      <c r="I87" s="21"/>
    </row>
    <row r="88" customFormat="false" ht="15" hidden="false" customHeight="false" outlineLevel="0" collapsed="false">
      <c r="A88" s="42"/>
      <c r="B88" s="21"/>
      <c r="C88" s="21"/>
      <c r="D88" s="21"/>
      <c r="E88" s="20"/>
      <c r="F88" s="42"/>
      <c r="G88" s="23" t="str">
        <f aca="true">IF($F88="","",TODAY()-$F88)</f>
        <v/>
      </c>
      <c r="H88" s="21"/>
      <c r="I88" s="21"/>
    </row>
    <row r="89" customFormat="false" ht="15" hidden="false" customHeight="false" outlineLevel="0" collapsed="false">
      <c r="A89" s="42"/>
      <c r="B89" s="21"/>
      <c r="C89" s="21"/>
      <c r="D89" s="21"/>
      <c r="E89" s="20"/>
      <c r="F89" s="42"/>
      <c r="G89" s="23" t="str">
        <f aca="true">IF($F89="","",TODAY()-$F89)</f>
        <v/>
      </c>
      <c r="H89" s="21"/>
      <c r="I89" s="21"/>
    </row>
    <row r="90" customFormat="false" ht="15" hidden="false" customHeight="false" outlineLevel="0" collapsed="false">
      <c r="A90" s="42"/>
      <c r="B90" s="21"/>
      <c r="C90" s="21"/>
      <c r="D90" s="21"/>
      <c r="E90" s="20"/>
      <c r="F90" s="42"/>
      <c r="G90" s="23" t="str">
        <f aca="true">IF($F90="","",TODAY()-$F90)</f>
        <v/>
      </c>
      <c r="H90" s="21"/>
      <c r="I90" s="21"/>
    </row>
    <row r="91" customFormat="false" ht="15" hidden="false" customHeight="false" outlineLevel="0" collapsed="false">
      <c r="A91" s="42"/>
      <c r="B91" s="21"/>
      <c r="C91" s="21"/>
      <c r="D91" s="21"/>
      <c r="E91" s="20"/>
      <c r="F91" s="42"/>
      <c r="G91" s="23" t="str">
        <f aca="true">IF($F91="","",TODAY()-$F91)</f>
        <v/>
      </c>
      <c r="H91" s="21"/>
      <c r="I91" s="21"/>
    </row>
    <row r="92" customFormat="false" ht="15" hidden="false" customHeight="false" outlineLevel="0" collapsed="false">
      <c r="A92" s="42"/>
      <c r="B92" s="21"/>
      <c r="C92" s="21"/>
      <c r="D92" s="21"/>
      <c r="E92" s="20"/>
      <c r="F92" s="42"/>
      <c r="G92" s="23" t="str">
        <f aca="true">IF($F92="","",TODAY()-$F92)</f>
        <v/>
      </c>
      <c r="H92" s="21"/>
      <c r="I92" s="21"/>
    </row>
    <row r="93" customFormat="false" ht="15" hidden="false" customHeight="false" outlineLevel="0" collapsed="false">
      <c r="A93" s="42"/>
      <c r="B93" s="21"/>
      <c r="C93" s="21"/>
      <c r="D93" s="21"/>
      <c r="E93" s="20"/>
      <c r="F93" s="42"/>
      <c r="G93" s="23" t="str">
        <f aca="true">IF($F93="","",TODAY()-$F93)</f>
        <v/>
      </c>
      <c r="H93" s="21"/>
      <c r="I93" s="21"/>
    </row>
    <row r="94" customFormat="false" ht="15" hidden="false" customHeight="false" outlineLevel="0" collapsed="false">
      <c r="A94" s="42"/>
      <c r="B94" s="21"/>
      <c r="C94" s="21"/>
      <c r="D94" s="21"/>
      <c r="E94" s="20"/>
      <c r="F94" s="42"/>
      <c r="G94" s="23" t="str">
        <f aca="true">IF($F94="","",TODAY()-$F94)</f>
        <v/>
      </c>
      <c r="H94" s="21"/>
      <c r="I94" s="21"/>
    </row>
    <row r="95" customFormat="false" ht="15" hidden="false" customHeight="false" outlineLevel="0" collapsed="false">
      <c r="A95" s="42"/>
      <c r="B95" s="21"/>
      <c r="C95" s="21"/>
      <c r="D95" s="21"/>
      <c r="E95" s="20"/>
      <c r="F95" s="42"/>
      <c r="G95" s="23" t="str">
        <f aca="true">IF($F95="","",TODAY()-$F95)</f>
        <v/>
      </c>
      <c r="H95" s="21"/>
      <c r="I95" s="21"/>
    </row>
    <row r="96" customFormat="false" ht="15" hidden="false" customHeight="false" outlineLevel="0" collapsed="false">
      <c r="A96" s="42"/>
      <c r="B96" s="21"/>
      <c r="C96" s="21"/>
      <c r="D96" s="21"/>
      <c r="E96" s="20"/>
      <c r="F96" s="42"/>
      <c r="G96" s="23" t="str">
        <f aca="true">IF($F96="","",TODAY()-$F96)</f>
        <v/>
      </c>
      <c r="H96" s="21"/>
      <c r="I96" s="21"/>
    </row>
    <row r="97" customFormat="false" ht="15" hidden="false" customHeight="false" outlineLevel="0" collapsed="false">
      <c r="A97" s="42"/>
      <c r="B97" s="21"/>
      <c r="C97" s="21"/>
      <c r="D97" s="21"/>
      <c r="E97" s="20"/>
      <c r="F97" s="42"/>
      <c r="G97" s="23" t="str">
        <f aca="true">IF($F97="","",TODAY()-$F97)</f>
        <v/>
      </c>
      <c r="H97" s="21"/>
      <c r="I97" s="21"/>
    </row>
    <row r="98" customFormat="false" ht="15" hidden="false" customHeight="false" outlineLevel="0" collapsed="false">
      <c r="A98" s="42"/>
      <c r="B98" s="21"/>
      <c r="C98" s="21"/>
      <c r="D98" s="21"/>
      <c r="E98" s="20"/>
      <c r="F98" s="42"/>
      <c r="G98" s="23" t="str">
        <f aca="true">IF($F98="","",TODAY()-$F98)</f>
        <v/>
      </c>
      <c r="H98" s="21"/>
      <c r="I98" s="21"/>
    </row>
    <row r="99" customFormat="false" ht="15" hidden="false" customHeight="false" outlineLevel="0" collapsed="false">
      <c r="A99" s="42"/>
      <c r="B99" s="21"/>
      <c r="C99" s="21"/>
      <c r="D99" s="21"/>
      <c r="E99" s="20"/>
      <c r="F99" s="42"/>
      <c r="G99" s="23" t="str">
        <f aca="true">IF($F99="","",TODAY()-$F99)</f>
        <v/>
      </c>
      <c r="H99" s="21"/>
      <c r="I99" s="21"/>
    </row>
    <row r="100" customFormat="false" ht="15" hidden="false" customHeight="false" outlineLevel="0" collapsed="false">
      <c r="A100" s="42"/>
      <c r="B100" s="21"/>
      <c r="C100" s="21"/>
      <c r="D100" s="21"/>
      <c r="E100" s="20"/>
      <c r="F100" s="42"/>
      <c r="G100" s="23" t="str">
        <f aca="true">IF($F100="","",TODAY()-$F100)</f>
        <v/>
      </c>
      <c r="H100" s="21"/>
      <c r="I100" s="21"/>
    </row>
    <row r="101" customFormat="false" ht="15" hidden="false" customHeight="false" outlineLevel="0" collapsed="false">
      <c r="A101" s="42"/>
      <c r="B101" s="21"/>
      <c r="C101" s="21"/>
      <c r="D101" s="21"/>
      <c r="E101" s="20"/>
      <c r="F101" s="42"/>
      <c r="G101" s="23" t="str">
        <f aca="true">IF($F101="","",TODAY()-$F101)</f>
        <v/>
      </c>
      <c r="H101" s="21"/>
      <c r="I101" s="21"/>
    </row>
    <row r="102" customFormat="false" ht="15" hidden="false" customHeight="false" outlineLevel="0" collapsed="false">
      <c r="A102" s="42"/>
      <c r="B102" s="21"/>
      <c r="C102" s="21"/>
      <c r="D102" s="21"/>
      <c r="E102" s="20"/>
      <c r="F102" s="42"/>
      <c r="G102" s="23" t="str">
        <f aca="true">IF($F102="","",TODAY()-$F102)</f>
        <v/>
      </c>
      <c r="H102" s="21"/>
      <c r="I102" s="21"/>
    </row>
    <row r="103" customFormat="false" ht="15" hidden="false" customHeight="false" outlineLevel="0" collapsed="false">
      <c r="A103" s="42"/>
      <c r="B103" s="21"/>
      <c r="C103" s="21"/>
      <c r="D103" s="21"/>
      <c r="E103" s="20"/>
      <c r="F103" s="42"/>
      <c r="G103" s="23" t="str">
        <f aca="true">IF($F103="","",TODAY()-$F103)</f>
        <v/>
      </c>
      <c r="H103" s="21"/>
      <c r="I103" s="21"/>
    </row>
    <row r="104" customFormat="false" ht="15" hidden="false" customHeight="false" outlineLevel="0" collapsed="false">
      <c r="A104" s="42"/>
      <c r="B104" s="21"/>
      <c r="C104" s="21"/>
      <c r="D104" s="21"/>
      <c r="E104" s="20"/>
      <c r="F104" s="42"/>
      <c r="G104" s="23" t="str">
        <f aca="true">IF($F104="","",TODAY()-$F104)</f>
        <v/>
      </c>
      <c r="H104" s="21"/>
      <c r="I104" s="21"/>
    </row>
    <row r="105" customFormat="false" ht="15" hidden="false" customHeight="false" outlineLevel="0" collapsed="false">
      <c r="A105" s="42"/>
      <c r="B105" s="21"/>
      <c r="C105" s="21"/>
      <c r="D105" s="21"/>
      <c r="E105" s="20"/>
      <c r="F105" s="42"/>
      <c r="G105" s="23" t="str">
        <f aca="true">IF($F105="","",TODAY()-$F105)</f>
        <v/>
      </c>
      <c r="H105" s="21"/>
      <c r="I105" s="21"/>
    </row>
    <row r="106" customFormat="false" ht="15" hidden="false" customHeight="false" outlineLevel="0" collapsed="false">
      <c r="A106" s="42"/>
      <c r="B106" s="21"/>
      <c r="C106" s="21"/>
      <c r="D106" s="21"/>
      <c r="E106" s="20"/>
      <c r="F106" s="42"/>
      <c r="G106" s="23" t="str">
        <f aca="true">IF($F106="","",TODAY()-$F106)</f>
        <v/>
      </c>
      <c r="H106" s="21"/>
      <c r="I106" s="21"/>
    </row>
    <row r="107" customFormat="false" ht="15" hidden="false" customHeight="false" outlineLevel="0" collapsed="false">
      <c r="A107" s="42"/>
      <c r="B107" s="21"/>
      <c r="C107" s="21"/>
      <c r="D107" s="21"/>
      <c r="E107" s="20"/>
      <c r="F107" s="42"/>
      <c r="G107" s="23" t="str">
        <f aca="true">IF($F107="","",TODAY()-$F107)</f>
        <v/>
      </c>
      <c r="H107" s="21"/>
      <c r="I107" s="21"/>
    </row>
    <row r="108" customFormat="false" ht="15" hidden="false" customHeight="false" outlineLevel="0" collapsed="false">
      <c r="A108" s="42"/>
      <c r="B108" s="21"/>
      <c r="C108" s="21"/>
      <c r="D108" s="21"/>
      <c r="E108" s="20"/>
      <c r="F108" s="42"/>
      <c r="G108" s="23" t="str">
        <f aca="true">IF($F108="","",TODAY()-$F108)</f>
        <v/>
      </c>
      <c r="H108" s="21"/>
      <c r="I108" s="21"/>
    </row>
    <row r="109" customFormat="false" ht="15" hidden="false" customHeight="false" outlineLevel="0" collapsed="false">
      <c r="A109" s="42"/>
      <c r="B109" s="21"/>
      <c r="C109" s="21"/>
      <c r="D109" s="21"/>
      <c r="E109" s="20"/>
      <c r="F109" s="42"/>
      <c r="G109" s="23" t="str">
        <f aca="true">IF($F109="","",TODAY()-$F109)</f>
        <v/>
      </c>
      <c r="H109" s="21"/>
      <c r="I109" s="21"/>
    </row>
    <row r="110" customFormat="false" ht="15" hidden="false" customHeight="false" outlineLevel="0" collapsed="false">
      <c r="A110" s="42"/>
      <c r="B110" s="21"/>
      <c r="C110" s="21"/>
      <c r="D110" s="21"/>
      <c r="E110" s="20"/>
      <c r="F110" s="42"/>
      <c r="G110" s="23" t="str">
        <f aca="true">IF($F110="","",TODAY()-$F110)</f>
        <v/>
      </c>
      <c r="H110" s="21"/>
      <c r="I110" s="21"/>
    </row>
    <row r="111" customFormat="false" ht="15" hidden="false" customHeight="false" outlineLevel="0" collapsed="false">
      <c r="A111" s="42"/>
      <c r="B111" s="21"/>
      <c r="C111" s="21"/>
      <c r="D111" s="21"/>
      <c r="E111" s="20"/>
      <c r="F111" s="42"/>
      <c r="G111" s="23" t="str">
        <f aca="true">IF($F111="","",TODAY()-$F111)</f>
        <v/>
      </c>
      <c r="H111" s="21"/>
      <c r="I111" s="21"/>
    </row>
    <row r="112" customFormat="false" ht="15" hidden="false" customHeight="false" outlineLevel="0" collapsed="false">
      <c r="A112" s="42"/>
      <c r="B112" s="21"/>
      <c r="C112" s="21"/>
      <c r="D112" s="21"/>
      <c r="E112" s="20"/>
      <c r="F112" s="42"/>
      <c r="G112" s="23" t="str">
        <f aca="true">IF($F112="","",TODAY()-$F112)</f>
        <v/>
      </c>
      <c r="H112" s="21"/>
      <c r="I112" s="21"/>
    </row>
    <row r="113" customFormat="false" ht="15" hidden="false" customHeight="false" outlineLevel="0" collapsed="false">
      <c r="A113" s="42"/>
      <c r="B113" s="21"/>
      <c r="C113" s="21"/>
      <c r="D113" s="21"/>
      <c r="E113" s="20"/>
      <c r="F113" s="42"/>
      <c r="G113" s="23" t="str">
        <f aca="true">IF($F113="","",TODAY()-$F113)</f>
        <v/>
      </c>
      <c r="H113" s="21"/>
      <c r="I113" s="21"/>
    </row>
    <row r="114" customFormat="false" ht="15" hidden="false" customHeight="false" outlineLevel="0" collapsed="false">
      <c r="A114" s="42"/>
      <c r="B114" s="21"/>
      <c r="C114" s="21"/>
      <c r="D114" s="21"/>
      <c r="E114" s="20"/>
      <c r="F114" s="42"/>
      <c r="G114" s="23" t="str">
        <f aca="true">IF($F114="","",TODAY()-$F114)</f>
        <v/>
      </c>
      <c r="H114" s="21"/>
      <c r="I114" s="21"/>
    </row>
    <row r="115" customFormat="false" ht="15" hidden="false" customHeight="false" outlineLevel="0" collapsed="false">
      <c r="A115" s="42"/>
      <c r="B115" s="21"/>
      <c r="C115" s="21"/>
      <c r="D115" s="21"/>
      <c r="E115" s="20"/>
      <c r="F115" s="42"/>
      <c r="G115" s="23" t="str">
        <f aca="true">IF($F115="","",TODAY()-$F115)</f>
        <v/>
      </c>
      <c r="H115" s="21"/>
      <c r="I115" s="21"/>
    </row>
    <row r="116" customFormat="false" ht="15" hidden="false" customHeight="false" outlineLevel="0" collapsed="false">
      <c r="A116" s="42"/>
      <c r="B116" s="21"/>
      <c r="C116" s="21"/>
      <c r="D116" s="21"/>
      <c r="E116" s="20"/>
      <c r="F116" s="42"/>
      <c r="G116" s="23" t="str">
        <f aca="true">IF($F116="","",TODAY()-$F116)</f>
        <v/>
      </c>
      <c r="H116" s="21"/>
      <c r="I116" s="21"/>
    </row>
    <row r="117" customFormat="false" ht="15" hidden="false" customHeight="false" outlineLevel="0" collapsed="false">
      <c r="A117" s="42"/>
      <c r="B117" s="21"/>
      <c r="C117" s="21"/>
      <c r="D117" s="21"/>
      <c r="E117" s="20"/>
      <c r="F117" s="42"/>
      <c r="G117" s="23" t="str">
        <f aca="true">IF($F117="","",TODAY()-$F117)</f>
        <v/>
      </c>
      <c r="H117" s="21"/>
      <c r="I117" s="21"/>
    </row>
    <row r="118" customFormat="false" ht="15" hidden="false" customHeight="false" outlineLevel="0" collapsed="false">
      <c r="A118" s="42"/>
      <c r="B118" s="21"/>
      <c r="C118" s="21"/>
      <c r="D118" s="21"/>
      <c r="E118" s="20"/>
      <c r="F118" s="42"/>
      <c r="G118" s="23" t="str">
        <f aca="true">IF($F118="","",TODAY()-$F118)</f>
        <v/>
      </c>
      <c r="H118" s="21"/>
      <c r="I118" s="21"/>
    </row>
    <row r="119" customFormat="false" ht="15" hidden="false" customHeight="false" outlineLevel="0" collapsed="false">
      <c r="A119" s="42"/>
      <c r="B119" s="21"/>
      <c r="C119" s="21"/>
      <c r="D119" s="21"/>
      <c r="E119" s="20"/>
      <c r="F119" s="42"/>
      <c r="G119" s="23" t="str">
        <f aca="true">IF($F119="","",TODAY()-$F119)</f>
        <v/>
      </c>
      <c r="H119" s="21"/>
      <c r="I119" s="21"/>
    </row>
    <row r="120" customFormat="false" ht="15" hidden="false" customHeight="false" outlineLevel="0" collapsed="false">
      <c r="A120" s="42"/>
      <c r="B120" s="21"/>
      <c r="C120" s="21"/>
      <c r="D120" s="21"/>
      <c r="E120" s="20"/>
      <c r="F120" s="42"/>
      <c r="G120" s="23" t="str">
        <f aca="true">IF($F120="","",TODAY()-$F120)</f>
        <v/>
      </c>
      <c r="H120" s="21"/>
      <c r="I120" s="21"/>
    </row>
    <row r="121" customFormat="false" ht="15" hidden="false" customHeight="false" outlineLevel="0" collapsed="false">
      <c r="A121" s="42"/>
      <c r="B121" s="21"/>
      <c r="C121" s="21"/>
      <c r="D121" s="21"/>
      <c r="E121" s="20"/>
      <c r="F121" s="42"/>
      <c r="G121" s="23" t="str">
        <f aca="true">IF($F121="","",TODAY()-$F121)</f>
        <v/>
      </c>
      <c r="H121" s="21"/>
      <c r="I121" s="21"/>
    </row>
    <row r="122" customFormat="false" ht="15" hidden="false" customHeight="false" outlineLevel="0" collapsed="false">
      <c r="A122" s="42"/>
      <c r="B122" s="21"/>
      <c r="C122" s="21"/>
      <c r="D122" s="21"/>
      <c r="E122" s="20"/>
      <c r="F122" s="42"/>
      <c r="G122" s="23" t="str">
        <f aca="true">IF($F122="","",TODAY()-$F122)</f>
        <v/>
      </c>
      <c r="H122" s="21"/>
      <c r="I122" s="21"/>
    </row>
    <row r="123" customFormat="false" ht="15" hidden="false" customHeight="false" outlineLevel="0" collapsed="false">
      <c r="A123" s="42"/>
      <c r="B123" s="21"/>
      <c r="C123" s="21"/>
      <c r="D123" s="21"/>
      <c r="E123" s="20"/>
      <c r="F123" s="42"/>
      <c r="G123" s="23" t="str">
        <f aca="true">IF($F123="","",TODAY()-$F123)</f>
        <v/>
      </c>
      <c r="H123" s="21"/>
      <c r="I123" s="21"/>
    </row>
    <row r="124" customFormat="false" ht="15" hidden="false" customHeight="false" outlineLevel="0" collapsed="false">
      <c r="A124" s="42"/>
      <c r="B124" s="21"/>
      <c r="C124" s="21"/>
      <c r="D124" s="21"/>
      <c r="E124" s="20"/>
      <c r="F124" s="42"/>
      <c r="G124" s="23" t="str">
        <f aca="true">IF($F124="","",TODAY()-$F124)</f>
        <v/>
      </c>
      <c r="H124" s="21"/>
      <c r="I124" s="21"/>
    </row>
    <row r="125" customFormat="false" ht="15" hidden="false" customHeight="false" outlineLevel="0" collapsed="false">
      <c r="A125" s="42"/>
      <c r="B125" s="21"/>
      <c r="C125" s="21"/>
      <c r="D125" s="21"/>
      <c r="E125" s="20"/>
      <c r="F125" s="42"/>
      <c r="G125" s="23" t="str">
        <f aca="true">IF($F125="","",TODAY()-$F125)</f>
        <v/>
      </c>
      <c r="H125" s="21"/>
      <c r="I125" s="21"/>
    </row>
    <row r="126" customFormat="false" ht="15" hidden="false" customHeight="false" outlineLevel="0" collapsed="false">
      <c r="A126" s="42"/>
      <c r="B126" s="21"/>
      <c r="C126" s="21"/>
      <c r="D126" s="21"/>
      <c r="E126" s="20"/>
      <c r="F126" s="42"/>
      <c r="G126" s="23" t="str">
        <f aca="true">IF($F126="","",TODAY()-$F126)</f>
        <v/>
      </c>
      <c r="H126" s="21"/>
      <c r="I126" s="21"/>
    </row>
    <row r="127" customFormat="false" ht="15" hidden="false" customHeight="false" outlineLevel="0" collapsed="false">
      <c r="A127" s="42"/>
      <c r="B127" s="21"/>
      <c r="C127" s="21"/>
      <c r="D127" s="21"/>
      <c r="E127" s="20"/>
      <c r="F127" s="42"/>
      <c r="G127" s="23" t="str">
        <f aca="true">IF($F127="","",TODAY()-$F127)</f>
        <v/>
      </c>
      <c r="H127" s="21"/>
      <c r="I127" s="21"/>
    </row>
    <row r="128" customFormat="false" ht="15" hidden="false" customHeight="false" outlineLevel="0" collapsed="false">
      <c r="A128" s="42"/>
      <c r="B128" s="21"/>
      <c r="C128" s="21"/>
      <c r="D128" s="21"/>
      <c r="E128" s="20"/>
      <c r="F128" s="42"/>
      <c r="G128" s="23" t="str">
        <f aca="true">IF($F128="","",TODAY()-$F128)</f>
        <v/>
      </c>
      <c r="H128" s="21"/>
      <c r="I128" s="21"/>
    </row>
    <row r="129" customFormat="false" ht="15" hidden="false" customHeight="false" outlineLevel="0" collapsed="false">
      <c r="A129" s="42"/>
      <c r="B129" s="21"/>
      <c r="C129" s="21"/>
      <c r="D129" s="21"/>
      <c r="E129" s="20"/>
      <c r="F129" s="42"/>
      <c r="G129" s="23" t="str">
        <f aca="true">IF($F129="","",TODAY()-$F129)</f>
        <v/>
      </c>
      <c r="H129" s="21"/>
      <c r="I129" s="21"/>
    </row>
    <row r="130" customFormat="false" ht="15" hidden="false" customHeight="false" outlineLevel="0" collapsed="false">
      <c r="A130" s="42"/>
      <c r="B130" s="21"/>
      <c r="C130" s="21"/>
      <c r="D130" s="21"/>
      <c r="E130" s="20"/>
      <c r="F130" s="42"/>
      <c r="G130" s="23" t="str">
        <f aca="true">IF($F130="","",TODAY()-$F130)</f>
        <v/>
      </c>
      <c r="H130" s="21"/>
      <c r="I130" s="21"/>
    </row>
    <row r="131" customFormat="false" ht="15" hidden="false" customHeight="false" outlineLevel="0" collapsed="false">
      <c r="A131" s="42"/>
      <c r="B131" s="21"/>
      <c r="C131" s="21"/>
      <c r="D131" s="21"/>
      <c r="E131" s="20"/>
      <c r="F131" s="42"/>
      <c r="G131" s="23" t="str">
        <f aca="true">IF($F131="","",TODAY()-$F131)</f>
        <v/>
      </c>
      <c r="H131" s="21"/>
      <c r="I131" s="21"/>
    </row>
    <row r="132" customFormat="false" ht="15" hidden="false" customHeight="false" outlineLevel="0" collapsed="false">
      <c r="A132" s="42"/>
      <c r="B132" s="21"/>
      <c r="C132" s="21"/>
      <c r="D132" s="21"/>
      <c r="E132" s="20"/>
      <c r="F132" s="42"/>
      <c r="G132" s="23" t="str">
        <f aca="true">IF($F132="","",TODAY()-$F132)</f>
        <v/>
      </c>
      <c r="H132" s="21"/>
      <c r="I132" s="21"/>
    </row>
    <row r="133" customFormat="false" ht="15" hidden="false" customHeight="false" outlineLevel="0" collapsed="false">
      <c r="A133" s="42"/>
      <c r="B133" s="21"/>
      <c r="C133" s="21"/>
      <c r="D133" s="21"/>
      <c r="E133" s="20"/>
      <c r="F133" s="42"/>
      <c r="G133" s="23" t="str">
        <f aca="true">IF($F133="","",TODAY()-$F133)</f>
        <v/>
      </c>
      <c r="H133" s="21"/>
      <c r="I133" s="21"/>
    </row>
    <row r="134" customFormat="false" ht="15" hidden="false" customHeight="false" outlineLevel="0" collapsed="false">
      <c r="A134" s="42"/>
      <c r="B134" s="21"/>
      <c r="C134" s="21"/>
      <c r="D134" s="21"/>
      <c r="E134" s="20"/>
      <c r="F134" s="42"/>
      <c r="G134" s="23" t="str">
        <f aca="true">IF($F134="","",TODAY()-$F134)</f>
        <v/>
      </c>
      <c r="H134" s="21"/>
      <c r="I134" s="21"/>
    </row>
    <row r="135" customFormat="false" ht="15" hidden="false" customHeight="false" outlineLevel="0" collapsed="false">
      <c r="A135" s="42"/>
      <c r="B135" s="21"/>
      <c r="C135" s="21"/>
      <c r="D135" s="21"/>
      <c r="E135" s="20"/>
      <c r="F135" s="42"/>
      <c r="G135" s="23" t="str">
        <f aca="true">IF($F135="","",TODAY()-$F135)</f>
        <v/>
      </c>
      <c r="H135" s="21"/>
      <c r="I135" s="21"/>
    </row>
    <row r="136" customFormat="false" ht="15" hidden="false" customHeight="false" outlineLevel="0" collapsed="false">
      <c r="A136" s="42"/>
      <c r="B136" s="21"/>
      <c r="C136" s="21"/>
      <c r="D136" s="21"/>
      <c r="E136" s="20"/>
      <c r="F136" s="42"/>
      <c r="G136" s="23" t="str">
        <f aca="true">IF($F136="","",TODAY()-$F136)</f>
        <v/>
      </c>
      <c r="H136" s="21"/>
      <c r="I136" s="21"/>
    </row>
    <row r="137" customFormat="false" ht="15" hidden="false" customHeight="false" outlineLevel="0" collapsed="false">
      <c r="A137" s="42"/>
      <c r="B137" s="21"/>
      <c r="C137" s="21"/>
      <c r="D137" s="21"/>
      <c r="E137" s="20"/>
      <c r="F137" s="42"/>
      <c r="G137" s="23" t="str">
        <f aca="true">IF($F137="","",TODAY()-$F137)</f>
        <v/>
      </c>
      <c r="H137" s="21"/>
      <c r="I137" s="21"/>
    </row>
    <row r="138" customFormat="false" ht="15" hidden="false" customHeight="false" outlineLevel="0" collapsed="false">
      <c r="A138" s="42"/>
      <c r="B138" s="21"/>
      <c r="C138" s="21"/>
      <c r="D138" s="21"/>
      <c r="E138" s="20"/>
      <c r="F138" s="42"/>
      <c r="G138" s="23" t="str">
        <f aca="true">IF($F138="","",TODAY()-$F138)</f>
        <v/>
      </c>
      <c r="H138" s="21"/>
      <c r="I138" s="21"/>
    </row>
    <row r="139" customFormat="false" ht="15" hidden="false" customHeight="false" outlineLevel="0" collapsed="false">
      <c r="A139" s="42"/>
      <c r="B139" s="21"/>
      <c r="C139" s="21"/>
      <c r="D139" s="21"/>
      <c r="E139" s="20"/>
      <c r="F139" s="42"/>
      <c r="G139" s="23" t="str">
        <f aca="true">IF($F139="","",TODAY()-$F139)</f>
        <v/>
      </c>
      <c r="H139" s="21"/>
      <c r="I139" s="21"/>
    </row>
    <row r="140" customFormat="false" ht="15" hidden="false" customHeight="false" outlineLevel="0" collapsed="false">
      <c r="A140" s="42"/>
      <c r="B140" s="21"/>
      <c r="C140" s="21"/>
      <c r="D140" s="21"/>
      <c r="E140" s="20"/>
      <c r="F140" s="42"/>
      <c r="G140" s="23" t="str">
        <f aca="true">IF($F140="","",TODAY()-$F140)</f>
        <v/>
      </c>
      <c r="H140" s="21"/>
      <c r="I140" s="21"/>
    </row>
    <row r="141" customFormat="false" ht="15" hidden="false" customHeight="false" outlineLevel="0" collapsed="false">
      <c r="A141" s="42"/>
      <c r="B141" s="21"/>
      <c r="C141" s="21"/>
      <c r="D141" s="21"/>
      <c r="E141" s="20"/>
      <c r="F141" s="42"/>
      <c r="G141" s="23" t="str">
        <f aca="true">IF($F141="","",TODAY()-$F141)</f>
        <v/>
      </c>
      <c r="H141" s="21"/>
      <c r="I141" s="21"/>
    </row>
    <row r="142" customFormat="false" ht="15" hidden="false" customHeight="false" outlineLevel="0" collapsed="false">
      <c r="A142" s="42"/>
      <c r="B142" s="21"/>
      <c r="C142" s="21"/>
      <c r="D142" s="21"/>
      <c r="E142" s="20"/>
      <c r="F142" s="42"/>
      <c r="G142" s="23" t="str">
        <f aca="true">IF($F142="","",TODAY()-$F142)</f>
        <v/>
      </c>
      <c r="H142" s="21"/>
      <c r="I142" s="21"/>
    </row>
    <row r="143" customFormat="false" ht="15" hidden="false" customHeight="false" outlineLevel="0" collapsed="false">
      <c r="A143" s="42"/>
      <c r="B143" s="21"/>
      <c r="C143" s="21"/>
      <c r="D143" s="21"/>
      <c r="E143" s="20"/>
      <c r="F143" s="42"/>
      <c r="G143" s="23" t="str">
        <f aca="true">IF($F143="","",TODAY()-$F143)</f>
        <v/>
      </c>
      <c r="H143" s="21"/>
      <c r="I143" s="21"/>
    </row>
    <row r="144" customFormat="false" ht="15" hidden="false" customHeight="false" outlineLevel="0" collapsed="false">
      <c r="A144" s="42"/>
      <c r="B144" s="21"/>
      <c r="C144" s="21"/>
      <c r="D144" s="21"/>
      <c r="E144" s="20"/>
      <c r="F144" s="42"/>
      <c r="G144" s="23" t="str">
        <f aca="true">IF($F144="","",TODAY()-$F144)</f>
        <v/>
      </c>
      <c r="H144" s="21"/>
      <c r="I144" s="21"/>
    </row>
    <row r="145" customFormat="false" ht="15" hidden="false" customHeight="false" outlineLevel="0" collapsed="false">
      <c r="A145" s="42"/>
      <c r="B145" s="21"/>
      <c r="C145" s="21"/>
      <c r="D145" s="21"/>
      <c r="E145" s="20"/>
      <c r="F145" s="42"/>
      <c r="G145" s="23" t="str">
        <f aca="true">IF($F145="","",TODAY()-$F145)</f>
        <v/>
      </c>
      <c r="H145" s="21"/>
      <c r="I145" s="21"/>
    </row>
    <row r="146" customFormat="false" ht="15" hidden="false" customHeight="false" outlineLevel="0" collapsed="false">
      <c r="A146" s="42"/>
      <c r="B146" s="21"/>
      <c r="C146" s="21"/>
      <c r="D146" s="21"/>
      <c r="E146" s="20"/>
      <c r="F146" s="42"/>
      <c r="G146" s="23" t="str">
        <f aca="true">IF($F146="","",TODAY()-$F146)</f>
        <v/>
      </c>
      <c r="H146" s="21"/>
      <c r="I146" s="21"/>
    </row>
    <row r="147" customFormat="false" ht="15" hidden="false" customHeight="false" outlineLevel="0" collapsed="false">
      <c r="A147" s="42"/>
      <c r="B147" s="21"/>
      <c r="C147" s="21"/>
      <c r="D147" s="21"/>
      <c r="E147" s="20"/>
      <c r="F147" s="42"/>
      <c r="G147" s="23" t="str">
        <f aca="true">IF($F147="","",TODAY()-$F147)</f>
        <v/>
      </c>
      <c r="H147" s="21"/>
      <c r="I147" s="21"/>
    </row>
    <row r="148" customFormat="false" ht="15" hidden="false" customHeight="false" outlineLevel="0" collapsed="false">
      <c r="A148" s="42"/>
      <c r="B148" s="21"/>
      <c r="C148" s="21"/>
      <c r="D148" s="21"/>
      <c r="E148" s="20"/>
      <c r="F148" s="42"/>
      <c r="G148" s="23" t="str">
        <f aca="true">IF($F148="","",TODAY()-$F148)</f>
        <v/>
      </c>
      <c r="H148" s="21"/>
      <c r="I148" s="21"/>
    </row>
    <row r="149" customFormat="false" ht="15" hidden="false" customHeight="false" outlineLevel="0" collapsed="false">
      <c r="A149" s="42"/>
      <c r="B149" s="21"/>
      <c r="C149" s="21"/>
      <c r="D149" s="21"/>
      <c r="E149" s="20"/>
      <c r="F149" s="42"/>
      <c r="G149" s="23" t="str">
        <f aca="true">IF($F149="","",TODAY()-$F149)</f>
        <v/>
      </c>
      <c r="H149" s="21"/>
      <c r="I149" s="21"/>
    </row>
    <row r="150" customFormat="false" ht="15" hidden="false" customHeight="false" outlineLevel="0" collapsed="false">
      <c r="A150" s="42"/>
      <c r="B150" s="21"/>
      <c r="C150" s="21"/>
      <c r="D150" s="21"/>
      <c r="E150" s="20"/>
      <c r="F150" s="42"/>
      <c r="G150" s="23" t="str">
        <f aca="true">IF($F150="","",TODAY()-$F150)</f>
        <v/>
      </c>
      <c r="H150" s="21"/>
      <c r="I150" s="21"/>
    </row>
    <row r="151" customFormat="false" ht="15" hidden="false" customHeight="false" outlineLevel="0" collapsed="false">
      <c r="A151" s="42"/>
      <c r="B151" s="21"/>
      <c r="C151" s="21"/>
      <c r="D151" s="21"/>
      <c r="E151" s="20"/>
      <c r="F151" s="42"/>
      <c r="G151" s="23" t="str">
        <f aca="true">IF($F151="","",TODAY()-$F151)</f>
        <v/>
      </c>
      <c r="H151" s="21"/>
      <c r="I151" s="21"/>
    </row>
    <row r="152" customFormat="false" ht="15" hidden="false" customHeight="false" outlineLevel="0" collapsed="false">
      <c r="A152" s="42"/>
      <c r="B152" s="21"/>
      <c r="C152" s="21"/>
      <c r="D152" s="21"/>
      <c r="E152" s="20"/>
      <c r="F152" s="42"/>
      <c r="G152" s="23" t="str">
        <f aca="true">IF($F152="","",TODAY()-$F152)</f>
        <v/>
      </c>
      <c r="H152" s="21"/>
      <c r="I152" s="21"/>
    </row>
    <row r="153" customFormat="false" ht="15" hidden="false" customHeight="false" outlineLevel="0" collapsed="false">
      <c r="A153" s="42"/>
      <c r="B153" s="21"/>
      <c r="C153" s="21"/>
      <c r="D153" s="21"/>
      <c r="E153" s="20"/>
      <c r="F153" s="42"/>
      <c r="G153" s="23" t="str">
        <f aca="true">IF($F153="","",TODAY()-$F153)</f>
        <v/>
      </c>
      <c r="H153" s="21"/>
      <c r="I153" s="21"/>
    </row>
    <row r="154" customFormat="false" ht="15" hidden="false" customHeight="false" outlineLevel="0" collapsed="false">
      <c r="A154" s="42"/>
      <c r="B154" s="21"/>
      <c r="C154" s="21"/>
      <c r="D154" s="21"/>
      <c r="E154" s="20"/>
      <c r="F154" s="42"/>
      <c r="G154" s="23" t="str">
        <f aca="true">IF($F154="","",TODAY()-$F154)</f>
        <v/>
      </c>
      <c r="H154" s="21"/>
      <c r="I154" s="21"/>
    </row>
    <row r="155" customFormat="false" ht="15" hidden="false" customHeight="false" outlineLevel="0" collapsed="false">
      <c r="A155" s="42"/>
      <c r="B155" s="21"/>
      <c r="C155" s="21"/>
      <c r="D155" s="21"/>
      <c r="E155" s="20"/>
      <c r="F155" s="42"/>
      <c r="G155" s="23" t="str">
        <f aca="true">IF($F155="","",TODAY()-$F155)</f>
        <v/>
      </c>
      <c r="H155" s="21"/>
      <c r="I155" s="21"/>
    </row>
    <row r="156" customFormat="false" ht="15" hidden="false" customHeight="false" outlineLevel="0" collapsed="false">
      <c r="A156" s="42"/>
      <c r="B156" s="21"/>
      <c r="C156" s="21"/>
      <c r="D156" s="21"/>
      <c r="E156" s="20"/>
      <c r="F156" s="42"/>
      <c r="G156" s="23" t="str">
        <f aca="true">IF($F156="","",TODAY()-$F156)</f>
        <v/>
      </c>
      <c r="H156" s="21"/>
      <c r="I156" s="21"/>
    </row>
    <row r="157" customFormat="false" ht="15" hidden="false" customHeight="false" outlineLevel="0" collapsed="false">
      <c r="A157" s="42"/>
      <c r="B157" s="21"/>
      <c r="C157" s="21"/>
      <c r="D157" s="21"/>
      <c r="E157" s="20"/>
      <c r="F157" s="42"/>
      <c r="G157" s="23" t="str">
        <f aca="true">IF($F157="","",TODAY()-$F157)</f>
        <v/>
      </c>
      <c r="H157" s="21"/>
      <c r="I157" s="21"/>
    </row>
    <row r="158" customFormat="false" ht="15" hidden="false" customHeight="false" outlineLevel="0" collapsed="false">
      <c r="A158" s="42"/>
      <c r="B158" s="21"/>
      <c r="C158" s="21"/>
      <c r="D158" s="21"/>
      <c r="E158" s="20"/>
      <c r="F158" s="42"/>
      <c r="G158" s="23" t="str">
        <f aca="true">IF($F158="","",TODAY()-$F158)</f>
        <v/>
      </c>
      <c r="H158" s="21"/>
      <c r="I158" s="21"/>
    </row>
    <row r="159" customFormat="false" ht="15" hidden="false" customHeight="false" outlineLevel="0" collapsed="false">
      <c r="A159" s="42"/>
      <c r="B159" s="21"/>
      <c r="C159" s="21"/>
      <c r="D159" s="21"/>
      <c r="E159" s="20"/>
      <c r="F159" s="42"/>
      <c r="G159" s="23" t="str">
        <f aca="true">IF($F159="","",TODAY()-$F159)</f>
        <v/>
      </c>
      <c r="H159" s="21"/>
      <c r="I159" s="21"/>
    </row>
    <row r="160" customFormat="false" ht="15" hidden="false" customHeight="false" outlineLevel="0" collapsed="false">
      <c r="A160" s="42"/>
      <c r="B160" s="21"/>
      <c r="C160" s="21"/>
      <c r="D160" s="21"/>
      <c r="E160" s="20"/>
      <c r="F160" s="42"/>
      <c r="G160" s="23" t="str">
        <f aca="true">IF($F160="","",TODAY()-$F160)</f>
        <v/>
      </c>
      <c r="H160" s="21"/>
      <c r="I160" s="21"/>
    </row>
    <row r="161" customFormat="false" ht="15" hidden="false" customHeight="false" outlineLevel="0" collapsed="false">
      <c r="A161" s="42"/>
      <c r="B161" s="21"/>
      <c r="C161" s="21"/>
      <c r="D161" s="21"/>
      <c r="E161" s="20"/>
      <c r="F161" s="42"/>
      <c r="G161" s="23" t="str">
        <f aca="true">IF($F161="","",TODAY()-$F161)</f>
        <v/>
      </c>
      <c r="H161" s="21"/>
      <c r="I161" s="21"/>
    </row>
    <row r="162" customFormat="false" ht="15" hidden="false" customHeight="false" outlineLevel="0" collapsed="false">
      <c r="A162" s="42"/>
      <c r="B162" s="21"/>
      <c r="C162" s="21"/>
      <c r="D162" s="21"/>
      <c r="E162" s="20"/>
      <c r="F162" s="42"/>
      <c r="G162" s="23" t="str">
        <f aca="true">IF($F162="","",TODAY()-$F162)</f>
        <v/>
      </c>
      <c r="H162" s="21"/>
      <c r="I162" s="21"/>
    </row>
    <row r="163" customFormat="false" ht="15" hidden="false" customHeight="false" outlineLevel="0" collapsed="false">
      <c r="A163" s="42"/>
      <c r="B163" s="21"/>
      <c r="C163" s="21"/>
      <c r="D163" s="21"/>
      <c r="E163" s="20"/>
      <c r="F163" s="42"/>
      <c r="G163" s="23" t="str">
        <f aca="true">IF($F163="","",TODAY()-$F163)</f>
        <v/>
      </c>
      <c r="H163" s="21"/>
      <c r="I163" s="21"/>
    </row>
    <row r="164" customFormat="false" ht="15" hidden="false" customHeight="false" outlineLevel="0" collapsed="false">
      <c r="A164" s="42"/>
      <c r="B164" s="21"/>
      <c r="C164" s="21"/>
      <c r="D164" s="21"/>
      <c r="E164" s="20"/>
      <c r="F164" s="42"/>
      <c r="G164" s="23" t="str">
        <f aca="true">IF($F164="","",TODAY()-$F164)</f>
        <v/>
      </c>
      <c r="H164" s="21"/>
      <c r="I164" s="21"/>
    </row>
    <row r="165" customFormat="false" ht="15" hidden="false" customHeight="false" outlineLevel="0" collapsed="false">
      <c r="A165" s="42"/>
      <c r="B165" s="21"/>
      <c r="C165" s="21"/>
      <c r="D165" s="21"/>
      <c r="E165" s="20"/>
      <c r="F165" s="42"/>
      <c r="G165" s="23" t="str">
        <f aca="true">IF($F165="","",TODAY()-$F165)</f>
        <v/>
      </c>
      <c r="H165" s="21"/>
      <c r="I165" s="21"/>
    </row>
    <row r="166" customFormat="false" ht="15" hidden="false" customHeight="false" outlineLevel="0" collapsed="false">
      <c r="A166" s="42"/>
      <c r="B166" s="21"/>
      <c r="C166" s="21"/>
      <c r="D166" s="21"/>
      <c r="E166" s="20"/>
      <c r="F166" s="42"/>
      <c r="G166" s="23" t="str">
        <f aca="true">IF($F166="","",TODAY()-$F166)</f>
        <v/>
      </c>
      <c r="H166" s="21"/>
      <c r="I166" s="21"/>
    </row>
    <row r="167" customFormat="false" ht="15" hidden="false" customHeight="false" outlineLevel="0" collapsed="false">
      <c r="A167" s="42"/>
      <c r="B167" s="21"/>
      <c r="C167" s="21"/>
      <c r="D167" s="21"/>
      <c r="E167" s="20"/>
      <c r="F167" s="42"/>
      <c r="G167" s="23" t="str">
        <f aca="true">IF($F167="","",TODAY()-$F167)</f>
        <v/>
      </c>
      <c r="H167" s="21"/>
      <c r="I167" s="21"/>
    </row>
    <row r="168" customFormat="false" ht="15" hidden="false" customHeight="false" outlineLevel="0" collapsed="false">
      <c r="A168" s="42"/>
      <c r="B168" s="21"/>
      <c r="C168" s="21"/>
      <c r="D168" s="21"/>
      <c r="E168" s="20"/>
      <c r="F168" s="42"/>
      <c r="G168" s="23" t="str">
        <f aca="true">IF($F168="","",TODAY()-$F168)</f>
        <v/>
      </c>
      <c r="H168" s="21"/>
      <c r="I168" s="21"/>
    </row>
    <row r="169" customFormat="false" ht="15" hidden="false" customHeight="false" outlineLevel="0" collapsed="false">
      <c r="A169" s="42"/>
      <c r="B169" s="21"/>
      <c r="C169" s="21"/>
      <c r="D169" s="21"/>
      <c r="E169" s="20"/>
      <c r="F169" s="42"/>
      <c r="G169" s="23" t="str">
        <f aca="true">IF($F169="","",TODAY()-$F169)</f>
        <v/>
      </c>
      <c r="H169" s="21"/>
      <c r="I169" s="21"/>
    </row>
    <row r="170" customFormat="false" ht="15" hidden="false" customHeight="false" outlineLevel="0" collapsed="false">
      <c r="A170" s="42"/>
      <c r="B170" s="21"/>
      <c r="C170" s="21"/>
      <c r="D170" s="21"/>
      <c r="E170" s="20"/>
      <c r="F170" s="42"/>
      <c r="G170" s="23" t="str">
        <f aca="true">IF($F170="","",TODAY()-$F170)</f>
        <v/>
      </c>
      <c r="H170" s="21"/>
      <c r="I170" s="21"/>
    </row>
    <row r="171" customFormat="false" ht="15" hidden="false" customHeight="false" outlineLevel="0" collapsed="false">
      <c r="A171" s="42"/>
      <c r="B171" s="21"/>
      <c r="C171" s="21"/>
      <c r="D171" s="21"/>
      <c r="E171" s="20"/>
      <c r="F171" s="42"/>
      <c r="G171" s="23" t="str">
        <f aca="true">IF($F171="","",TODAY()-$F171)</f>
        <v/>
      </c>
      <c r="H171" s="21"/>
      <c r="I171" s="21"/>
    </row>
    <row r="172" customFormat="false" ht="15" hidden="false" customHeight="false" outlineLevel="0" collapsed="false">
      <c r="A172" s="42"/>
      <c r="B172" s="21"/>
      <c r="C172" s="21"/>
      <c r="D172" s="21"/>
      <c r="E172" s="20"/>
      <c r="F172" s="42"/>
      <c r="G172" s="23" t="str">
        <f aca="true">IF($F172="","",TODAY()-$F172)</f>
        <v/>
      </c>
      <c r="H172" s="21"/>
      <c r="I172" s="21"/>
    </row>
    <row r="173" customFormat="false" ht="15" hidden="false" customHeight="false" outlineLevel="0" collapsed="false">
      <c r="A173" s="42"/>
      <c r="B173" s="21"/>
      <c r="C173" s="21"/>
      <c r="D173" s="21"/>
      <c r="E173" s="20"/>
      <c r="F173" s="42"/>
      <c r="G173" s="23" t="str">
        <f aca="true">IF($F173="","",TODAY()-$F173)</f>
        <v/>
      </c>
      <c r="H173" s="21"/>
      <c r="I173" s="21"/>
    </row>
    <row r="174" customFormat="false" ht="15" hidden="false" customHeight="false" outlineLevel="0" collapsed="false">
      <c r="A174" s="42"/>
      <c r="B174" s="21"/>
      <c r="C174" s="21"/>
      <c r="D174" s="21"/>
      <c r="E174" s="20"/>
      <c r="F174" s="42"/>
      <c r="G174" s="23" t="str">
        <f aca="true">IF($F174="","",TODAY()-$F174)</f>
        <v/>
      </c>
      <c r="H174" s="21"/>
      <c r="I174" s="21"/>
    </row>
    <row r="175" customFormat="false" ht="15" hidden="false" customHeight="false" outlineLevel="0" collapsed="false">
      <c r="A175" s="42"/>
      <c r="B175" s="21"/>
      <c r="C175" s="21"/>
      <c r="D175" s="21"/>
      <c r="E175" s="20"/>
      <c r="F175" s="42"/>
      <c r="G175" s="23" t="str">
        <f aca="true">IF($F175="","",TODAY()-$F175)</f>
        <v/>
      </c>
      <c r="H175" s="21"/>
      <c r="I175" s="21"/>
    </row>
    <row r="176" customFormat="false" ht="15" hidden="false" customHeight="false" outlineLevel="0" collapsed="false">
      <c r="A176" s="42"/>
      <c r="B176" s="21"/>
      <c r="C176" s="21"/>
      <c r="D176" s="21"/>
      <c r="E176" s="20"/>
      <c r="F176" s="42"/>
      <c r="G176" s="23" t="str">
        <f aca="true">IF($F176="","",TODAY()-$F176)</f>
        <v/>
      </c>
      <c r="H176" s="21"/>
      <c r="I176" s="21"/>
    </row>
    <row r="177" customFormat="false" ht="15" hidden="false" customHeight="false" outlineLevel="0" collapsed="false">
      <c r="A177" s="42"/>
      <c r="B177" s="21"/>
      <c r="C177" s="21"/>
      <c r="D177" s="21"/>
      <c r="E177" s="20"/>
      <c r="F177" s="42"/>
      <c r="G177" s="23" t="str">
        <f aca="true">IF($F177="","",TODAY()-$F177)</f>
        <v/>
      </c>
      <c r="H177" s="21"/>
      <c r="I177" s="21"/>
    </row>
    <row r="178" customFormat="false" ht="15" hidden="false" customHeight="false" outlineLevel="0" collapsed="false">
      <c r="A178" s="42"/>
      <c r="B178" s="21"/>
      <c r="C178" s="21"/>
      <c r="D178" s="21"/>
      <c r="E178" s="20"/>
      <c r="F178" s="42"/>
      <c r="G178" s="23" t="str">
        <f aca="true">IF($F178="","",TODAY()-$F178)</f>
        <v/>
      </c>
      <c r="H178" s="21"/>
      <c r="I178" s="21"/>
    </row>
    <row r="179" customFormat="false" ht="15" hidden="false" customHeight="false" outlineLevel="0" collapsed="false">
      <c r="A179" s="42"/>
      <c r="B179" s="21"/>
      <c r="C179" s="21"/>
      <c r="D179" s="21"/>
      <c r="E179" s="20"/>
      <c r="F179" s="42"/>
      <c r="G179" s="23" t="str">
        <f aca="true">IF($F179="","",TODAY()-$F179)</f>
        <v/>
      </c>
      <c r="H179" s="21"/>
      <c r="I179" s="21"/>
    </row>
    <row r="180" customFormat="false" ht="15" hidden="false" customHeight="false" outlineLevel="0" collapsed="false">
      <c r="A180" s="42"/>
      <c r="B180" s="21"/>
      <c r="C180" s="21"/>
      <c r="D180" s="21"/>
      <c r="E180" s="20"/>
      <c r="F180" s="42"/>
      <c r="G180" s="23" t="str">
        <f aca="true">IF($F180="","",TODAY()-$F180)</f>
        <v/>
      </c>
      <c r="H180" s="21"/>
      <c r="I180" s="21"/>
    </row>
    <row r="181" customFormat="false" ht="15" hidden="false" customHeight="false" outlineLevel="0" collapsed="false">
      <c r="A181" s="42"/>
      <c r="B181" s="21"/>
      <c r="C181" s="21"/>
      <c r="D181" s="21"/>
      <c r="E181" s="20"/>
      <c r="F181" s="42"/>
      <c r="G181" s="23" t="str">
        <f aca="true">IF($F181="","",TODAY()-$F181)</f>
        <v/>
      </c>
      <c r="H181" s="21"/>
      <c r="I181" s="21"/>
    </row>
    <row r="182" customFormat="false" ht="15" hidden="false" customHeight="false" outlineLevel="0" collapsed="false">
      <c r="A182" s="42"/>
      <c r="B182" s="21"/>
      <c r="C182" s="21"/>
      <c r="D182" s="21"/>
      <c r="E182" s="20"/>
      <c r="F182" s="42"/>
      <c r="G182" s="23" t="str">
        <f aca="true">IF($F182="","",TODAY()-$F182)</f>
        <v/>
      </c>
      <c r="H182" s="21"/>
      <c r="I182" s="21"/>
    </row>
    <row r="183" customFormat="false" ht="15" hidden="false" customHeight="false" outlineLevel="0" collapsed="false">
      <c r="A183" s="42"/>
      <c r="B183" s="21"/>
      <c r="C183" s="21"/>
      <c r="D183" s="21"/>
      <c r="E183" s="20"/>
      <c r="F183" s="42"/>
      <c r="G183" s="23" t="str">
        <f aca="true">IF($F183="","",TODAY()-$F183)</f>
        <v/>
      </c>
      <c r="H183" s="21"/>
      <c r="I183" s="21"/>
    </row>
    <row r="184" customFormat="false" ht="15" hidden="false" customHeight="false" outlineLevel="0" collapsed="false">
      <c r="A184" s="42"/>
      <c r="B184" s="21"/>
      <c r="C184" s="21"/>
      <c r="D184" s="21"/>
      <c r="E184" s="20"/>
      <c r="F184" s="42"/>
      <c r="G184" s="23" t="str">
        <f aca="true">IF($F184="","",TODAY()-$F184)</f>
        <v/>
      </c>
      <c r="H184" s="21"/>
      <c r="I184" s="21"/>
    </row>
    <row r="185" customFormat="false" ht="15" hidden="false" customHeight="false" outlineLevel="0" collapsed="false">
      <c r="A185" s="42"/>
      <c r="B185" s="21"/>
      <c r="C185" s="21"/>
      <c r="D185" s="21"/>
      <c r="E185" s="20"/>
      <c r="F185" s="42"/>
      <c r="G185" s="23" t="str">
        <f aca="true">IF($F185="","",TODAY()-$F185)</f>
        <v/>
      </c>
      <c r="H185" s="21"/>
      <c r="I185" s="21"/>
    </row>
    <row r="186" customFormat="false" ht="15" hidden="false" customHeight="false" outlineLevel="0" collapsed="false">
      <c r="A186" s="42"/>
      <c r="B186" s="21"/>
      <c r="C186" s="21"/>
      <c r="D186" s="21"/>
      <c r="E186" s="20"/>
      <c r="F186" s="42"/>
      <c r="G186" s="23" t="str">
        <f aca="true">IF($F186="","",TODAY()-$F186)</f>
        <v/>
      </c>
      <c r="H186" s="21"/>
      <c r="I186" s="21"/>
    </row>
    <row r="187" customFormat="false" ht="15" hidden="false" customHeight="false" outlineLevel="0" collapsed="false">
      <c r="A187" s="42"/>
      <c r="B187" s="21"/>
      <c r="C187" s="21"/>
      <c r="D187" s="21"/>
      <c r="E187" s="20"/>
      <c r="F187" s="42"/>
      <c r="G187" s="23" t="str">
        <f aca="true">IF($F187="","",TODAY()-$F187)</f>
        <v/>
      </c>
      <c r="H187" s="21"/>
      <c r="I187" s="21"/>
    </row>
    <row r="188" customFormat="false" ht="15" hidden="false" customHeight="false" outlineLevel="0" collapsed="false">
      <c r="A188" s="42"/>
      <c r="B188" s="21"/>
      <c r="C188" s="21"/>
      <c r="D188" s="21"/>
      <c r="E188" s="20"/>
      <c r="F188" s="42"/>
      <c r="G188" s="23" t="str">
        <f aca="true">IF($F188="","",TODAY()-$F188)</f>
        <v/>
      </c>
      <c r="H188" s="21"/>
      <c r="I188" s="21"/>
    </row>
    <row r="189" customFormat="false" ht="15" hidden="false" customHeight="false" outlineLevel="0" collapsed="false">
      <c r="A189" s="42"/>
      <c r="B189" s="21"/>
      <c r="C189" s="21"/>
      <c r="D189" s="21"/>
      <c r="E189" s="20"/>
      <c r="F189" s="42"/>
      <c r="G189" s="23" t="str">
        <f aca="true">IF($F189="","",TODAY()-$F189)</f>
        <v/>
      </c>
      <c r="H189" s="21"/>
      <c r="I189" s="21"/>
    </row>
    <row r="190" customFormat="false" ht="15" hidden="false" customHeight="false" outlineLevel="0" collapsed="false">
      <c r="A190" s="42"/>
      <c r="B190" s="21"/>
      <c r="C190" s="21"/>
      <c r="D190" s="21"/>
      <c r="E190" s="20"/>
      <c r="F190" s="42"/>
      <c r="G190" s="23" t="str">
        <f aca="true">IF($F190="","",TODAY()-$F190)</f>
        <v/>
      </c>
      <c r="H190" s="21"/>
      <c r="I190" s="21"/>
    </row>
    <row r="191" customFormat="false" ht="15" hidden="false" customHeight="false" outlineLevel="0" collapsed="false">
      <c r="A191" s="42"/>
      <c r="B191" s="21"/>
      <c r="C191" s="21"/>
      <c r="D191" s="21"/>
      <c r="E191" s="20"/>
      <c r="F191" s="42"/>
      <c r="G191" s="23" t="str">
        <f aca="true">IF($F191="","",TODAY()-$F191)</f>
        <v/>
      </c>
      <c r="H191" s="21"/>
      <c r="I191" s="21"/>
    </row>
    <row r="192" customFormat="false" ht="15" hidden="false" customHeight="false" outlineLevel="0" collapsed="false">
      <c r="A192" s="42"/>
      <c r="B192" s="21"/>
      <c r="C192" s="21"/>
      <c r="D192" s="21"/>
      <c r="E192" s="20"/>
      <c r="F192" s="42"/>
      <c r="G192" s="23" t="str">
        <f aca="true">IF($F192="","",TODAY()-$F192)</f>
        <v/>
      </c>
      <c r="H192" s="21"/>
      <c r="I192" s="21"/>
    </row>
    <row r="193" customFormat="false" ht="15" hidden="false" customHeight="false" outlineLevel="0" collapsed="false">
      <c r="A193" s="42"/>
      <c r="B193" s="21"/>
      <c r="C193" s="21"/>
      <c r="D193" s="21"/>
      <c r="E193" s="20"/>
      <c r="F193" s="42"/>
      <c r="G193" s="23" t="str">
        <f aca="true">IF($F193="","",TODAY()-$F193)</f>
        <v/>
      </c>
      <c r="H193" s="21"/>
      <c r="I193" s="21"/>
    </row>
    <row r="194" customFormat="false" ht="15" hidden="false" customHeight="false" outlineLevel="0" collapsed="false">
      <c r="A194" s="42"/>
      <c r="B194" s="21"/>
      <c r="C194" s="21"/>
      <c r="D194" s="21"/>
      <c r="E194" s="20"/>
      <c r="F194" s="42"/>
      <c r="G194" s="23" t="str">
        <f aca="true">IF($F194="","",TODAY()-$F194)</f>
        <v/>
      </c>
      <c r="H194" s="21"/>
      <c r="I194" s="21"/>
    </row>
    <row r="195" customFormat="false" ht="15" hidden="false" customHeight="false" outlineLevel="0" collapsed="false">
      <c r="A195" s="42"/>
      <c r="B195" s="21"/>
      <c r="C195" s="21"/>
      <c r="D195" s="21"/>
      <c r="E195" s="20"/>
      <c r="F195" s="42"/>
      <c r="G195" s="23" t="str">
        <f aca="true">IF($F195="","",TODAY()-$F195)</f>
        <v/>
      </c>
      <c r="H195" s="21"/>
      <c r="I195" s="21"/>
    </row>
    <row r="196" customFormat="false" ht="15" hidden="false" customHeight="false" outlineLevel="0" collapsed="false">
      <c r="A196" s="42"/>
      <c r="B196" s="21"/>
      <c r="C196" s="21"/>
      <c r="D196" s="21"/>
      <c r="E196" s="20"/>
      <c r="F196" s="42"/>
      <c r="G196" s="23" t="str">
        <f aca="true">IF($F196="","",TODAY()-$F196)</f>
        <v/>
      </c>
      <c r="H196" s="21"/>
      <c r="I196" s="21"/>
    </row>
    <row r="197" customFormat="false" ht="15" hidden="false" customHeight="false" outlineLevel="0" collapsed="false">
      <c r="A197" s="42"/>
      <c r="B197" s="21"/>
      <c r="C197" s="21"/>
      <c r="D197" s="21"/>
      <c r="E197" s="20"/>
      <c r="F197" s="42"/>
      <c r="G197" s="23" t="str">
        <f aca="true">IF($F197="","",TODAY()-$F197)</f>
        <v/>
      </c>
      <c r="H197" s="21"/>
      <c r="I197" s="21"/>
    </row>
    <row r="198" customFormat="false" ht="15" hidden="false" customHeight="false" outlineLevel="0" collapsed="false">
      <c r="A198" s="42"/>
      <c r="B198" s="21"/>
      <c r="C198" s="21"/>
      <c r="D198" s="21"/>
      <c r="E198" s="20"/>
      <c r="F198" s="42"/>
      <c r="G198" s="23" t="str">
        <f aca="true">IF($F198="","",TODAY()-$F198)</f>
        <v/>
      </c>
      <c r="H198" s="21"/>
      <c r="I198" s="21"/>
    </row>
    <row r="199" customFormat="false" ht="15" hidden="false" customHeight="false" outlineLevel="0" collapsed="false">
      <c r="A199" s="42"/>
      <c r="B199" s="21"/>
      <c r="C199" s="21"/>
      <c r="D199" s="21"/>
      <c r="E199" s="20"/>
      <c r="F199" s="42"/>
      <c r="G199" s="23" t="str">
        <f aca="true">IF($F199="","",TODAY()-$F199)</f>
        <v/>
      </c>
      <c r="H199" s="21"/>
      <c r="I199" s="21"/>
    </row>
    <row r="200" customFormat="false" ht="15" hidden="false" customHeight="false" outlineLevel="0" collapsed="false">
      <c r="A200" s="42"/>
      <c r="B200" s="21"/>
      <c r="C200" s="21"/>
      <c r="D200" s="21"/>
      <c r="E200" s="20"/>
      <c r="F200" s="42"/>
      <c r="G200" s="23" t="str">
        <f aca="true">IF($F200="","",TODAY()-$F200)</f>
        <v/>
      </c>
      <c r="H200" s="21"/>
      <c r="I200" s="21"/>
    </row>
    <row r="201" customFormat="false" ht="15" hidden="false" customHeight="false" outlineLevel="0" collapsed="false">
      <c r="A201" s="42"/>
      <c r="B201" s="21"/>
      <c r="C201" s="21"/>
      <c r="D201" s="21"/>
      <c r="E201" s="20"/>
      <c r="F201" s="42"/>
      <c r="G201" s="23" t="str">
        <f aca="true">IF($F201="","",TODAY()-$F201)</f>
        <v/>
      </c>
      <c r="H201" s="21"/>
      <c r="I201" s="21"/>
    </row>
    <row r="202" customFormat="false" ht="15" hidden="false" customHeight="false" outlineLevel="0" collapsed="false">
      <c r="A202" s="42"/>
      <c r="B202" s="21"/>
      <c r="C202" s="21"/>
      <c r="D202" s="21"/>
      <c r="E202" s="20"/>
      <c r="F202" s="42"/>
      <c r="G202" s="23" t="str">
        <f aca="true">IF($F202="","",TODAY()-$F202)</f>
        <v/>
      </c>
      <c r="H202" s="21"/>
      <c r="I202" s="21"/>
    </row>
  </sheetData>
  <autoFilter ref="A2:I202"/>
  <mergeCells count="1">
    <mergeCell ref="A1:I1"/>
  </mergeCells>
  <conditionalFormatting sqref="E3:E202">
    <cfRule type="cellIs" priority="2" operator="equal" aboveAverage="0" equalAverage="0" bottom="0" percent="0" rank="0" text="" dxfId="8">
      <formula>"Offer"</formula>
    </cfRule>
    <cfRule type="cellIs" priority="3" operator="equal" aboveAverage="0" equalAverage="0" bottom="0" percent="0" rank="0" text="" dxfId="11">
      <formula>"Rejected"</formula>
    </cfRule>
  </conditionalFormatting>
  <conditionalFormatting sqref="G3:G202">
    <cfRule type="cellIs" priority="4" operator="greaterThan" aboveAverage="0" equalAverage="0" bottom="0" percent="0" rank="0" text="" dxfId="10">
      <formula>10</formula>
    </cfRule>
  </conditionalFormatting>
  <dataValidations count="1">
    <dataValidation allowBlank="true" errorStyle="stop" operator="between" showDropDown="false" showErrorMessage="false" showInputMessage="false" sqref="E3:E202" type="list">
      <formula1>"Applied,Referred,OA sent,OA done,Round 1,Round 2,Round 3,HR round,Offer,Rejected,Ghosted"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46"/>
    <col collapsed="false" customWidth="true" hidden="false" outlineLevel="0" max="4" min="4" style="0" width="11"/>
    <col collapsed="false" customWidth="true" hidden="false" outlineLevel="0" max="6" min="5" style="0" width="10"/>
    <col collapsed="false" customWidth="true" hidden="false" outlineLevel="0" max="7" min="7" style="0" width="46"/>
  </cols>
  <sheetData>
    <row r="1" customFormat="false" ht="15" hidden="false" customHeight="false" outlineLevel="0" collapsed="false">
      <c r="A1" s="10" t="s">
        <v>366</v>
      </c>
      <c r="B1" s="10"/>
      <c r="C1" s="10"/>
      <c r="D1" s="10"/>
      <c r="E1" s="10"/>
      <c r="F1" s="10"/>
      <c r="G1" s="10"/>
    </row>
    <row r="2" customFormat="false" ht="30" hidden="false" customHeight="true" outlineLevel="0" collapsed="false">
      <c r="A2" s="11" t="s">
        <v>367</v>
      </c>
      <c r="B2" s="11" t="s">
        <v>259</v>
      </c>
      <c r="C2" s="11" t="s">
        <v>368</v>
      </c>
      <c r="D2" s="11" t="s">
        <v>262</v>
      </c>
      <c r="E2" s="11" t="s">
        <v>369</v>
      </c>
      <c r="F2" s="11" t="s">
        <v>370</v>
      </c>
      <c r="G2" s="11" t="s">
        <v>371</v>
      </c>
    </row>
    <row r="3" customFormat="false" ht="15" hidden="false" customHeight="false" outlineLevel="0" collapsed="false">
      <c r="A3" s="43" t="s">
        <v>372</v>
      </c>
      <c r="B3" s="44" t="s">
        <v>373</v>
      </c>
      <c r="C3" s="44" t="s">
        <v>374</v>
      </c>
      <c r="D3" s="43" t="n">
        <v>9</v>
      </c>
      <c r="E3" s="20"/>
      <c r="F3" s="20"/>
      <c r="G3" s="21"/>
    </row>
    <row r="4" customFormat="false" ht="15" hidden="false" customHeight="false" outlineLevel="0" collapsed="false">
      <c r="A4" s="43" t="s">
        <v>372</v>
      </c>
      <c r="B4" s="44" t="s">
        <v>373</v>
      </c>
      <c r="C4" s="44" t="s">
        <v>375</v>
      </c>
      <c r="D4" s="43" t="n">
        <v>9</v>
      </c>
      <c r="E4" s="20"/>
      <c r="F4" s="20"/>
      <c r="G4" s="21"/>
    </row>
    <row r="5" customFormat="false" ht="15" hidden="false" customHeight="false" outlineLevel="0" collapsed="false">
      <c r="A5" s="43" t="s">
        <v>372</v>
      </c>
      <c r="B5" s="44" t="s">
        <v>373</v>
      </c>
      <c r="C5" s="44" t="s">
        <v>376</v>
      </c>
      <c r="D5" s="43" t="n">
        <v>9</v>
      </c>
      <c r="E5" s="20"/>
      <c r="F5" s="20"/>
      <c r="G5" s="21"/>
    </row>
    <row r="6" customFormat="false" ht="15" hidden="false" customHeight="false" outlineLevel="0" collapsed="false">
      <c r="A6" s="43" t="s">
        <v>372</v>
      </c>
      <c r="B6" s="44" t="s">
        <v>373</v>
      </c>
      <c r="C6" s="44" t="s">
        <v>377</v>
      </c>
      <c r="D6" s="43" t="n">
        <v>9</v>
      </c>
      <c r="E6" s="20"/>
      <c r="F6" s="20"/>
      <c r="G6" s="21"/>
    </row>
    <row r="7" customFormat="false" ht="15" hidden="false" customHeight="false" outlineLevel="0" collapsed="false">
      <c r="A7" s="43" t="s">
        <v>372</v>
      </c>
      <c r="B7" s="44" t="s">
        <v>373</v>
      </c>
      <c r="C7" s="44" t="s">
        <v>378</v>
      </c>
      <c r="D7" s="43" t="n">
        <v>9</v>
      </c>
      <c r="E7" s="20"/>
      <c r="F7" s="20"/>
      <c r="G7" s="21"/>
    </row>
    <row r="8" customFormat="false" ht="15" hidden="false" customHeight="false" outlineLevel="0" collapsed="false">
      <c r="A8" s="43" t="s">
        <v>372</v>
      </c>
      <c r="B8" s="44" t="s">
        <v>373</v>
      </c>
      <c r="C8" s="44" t="s">
        <v>379</v>
      </c>
      <c r="D8" s="43" t="n">
        <v>9</v>
      </c>
      <c r="E8" s="20"/>
      <c r="F8" s="20"/>
      <c r="G8" s="21"/>
    </row>
    <row r="9" customFormat="false" ht="15" hidden="false" customHeight="false" outlineLevel="0" collapsed="false">
      <c r="A9" s="43" t="s">
        <v>372</v>
      </c>
      <c r="B9" s="44" t="s">
        <v>373</v>
      </c>
      <c r="C9" s="44" t="s">
        <v>380</v>
      </c>
      <c r="D9" s="43" t="n">
        <v>10</v>
      </c>
      <c r="E9" s="20"/>
      <c r="F9" s="20"/>
      <c r="G9" s="21"/>
    </row>
    <row r="10" customFormat="false" ht="15" hidden="false" customHeight="false" outlineLevel="0" collapsed="false">
      <c r="A10" s="43" t="s">
        <v>372</v>
      </c>
      <c r="B10" s="44" t="s">
        <v>373</v>
      </c>
      <c r="C10" s="44" t="s">
        <v>381</v>
      </c>
      <c r="D10" s="43" t="n">
        <v>10</v>
      </c>
      <c r="E10" s="20"/>
      <c r="F10" s="20"/>
      <c r="G10" s="21"/>
    </row>
    <row r="11" customFormat="false" ht="15" hidden="false" customHeight="false" outlineLevel="0" collapsed="false">
      <c r="A11" s="43" t="s">
        <v>372</v>
      </c>
      <c r="B11" s="44" t="s">
        <v>373</v>
      </c>
      <c r="C11" s="44" t="s">
        <v>382</v>
      </c>
      <c r="D11" s="43" t="n">
        <v>10</v>
      </c>
      <c r="E11" s="20"/>
      <c r="F11" s="20"/>
      <c r="G11" s="21"/>
    </row>
    <row r="12" customFormat="false" ht="15" hidden="false" customHeight="false" outlineLevel="0" collapsed="false">
      <c r="A12" s="43" t="s">
        <v>372</v>
      </c>
      <c r="B12" s="44" t="s">
        <v>373</v>
      </c>
      <c r="C12" s="44" t="s">
        <v>383</v>
      </c>
      <c r="D12" s="43" t="n">
        <v>10</v>
      </c>
      <c r="E12" s="20"/>
      <c r="F12" s="20"/>
      <c r="G12" s="21"/>
    </row>
    <row r="13" customFormat="false" ht="15" hidden="false" customHeight="false" outlineLevel="0" collapsed="false">
      <c r="A13" s="43" t="s">
        <v>372</v>
      </c>
      <c r="B13" s="44" t="s">
        <v>373</v>
      </c>
      <c r="C13" s="44" t="s">
        <v>384</v>
      </c>
      <c r="D13" s="43" t="n">
        <v>10</v>
      </c>
      <c r="E13" s="20"/>
      <c r="F13" s="20"/>
      <c r="G13" s="21"/>
    </row>
    <row r="14" customFormat="false" ht="15" hidden="false" customHeight="false" outlineLevel="0" collapsed="false">
      <c r="A14" s="43" t="s">
        <v>372</v>
      </c>
      <c r="B14" s="44" t="s">
        <v>373</v>
      </c>
      <c r="C14" s="44" t="s">
        <v>385</v>
      </c>
      <c r="D14" s="43" t="n">
        <v>11</v>
      </c>
      <c r="E14" s="20"/>
      <c r="F14" s="20"/>
      <c r="G14" s="21"/>
    </row>
    <row r="15" customFormat="false" ht="15" hidden="false" customHeight="false" outlineLevel="0" collapsed="false">
      <c r="A15" s="43" t="s">
        <v>372</v>
      </c>
      <c r="B15" s="44" t="s">
        <v>373</v>
      </c>
      <c r="C15" s="44" t="s">
        <v>386</v>
      </c>
      <c r="D15" s="43" t="n">
        <v>11</v>
      </c>
      <c r="E15" s="20"/>
      <c r="F15" s="20"/>
      <c r="G15" s="21"/>
    </row>
    <row r="16" customFormat="false" ht="15" hidden="false" customHeight="false" outlineLevel="0" collapsed="false">
      <c r="A16" s="43" t="s">
        <v>372</v>
      </c>
      <c r="B16" s="44" t="s">
        <v>373</v>
      </c>
      <c r="C16" s="44" t="s">
        <v>387</v>
      </c>
      <c r="D16" s="43" t="n">
        <v>11</v>
      </c>
      <c r="E16" s="20"/>
      <c r="F16" s="20"/>
      <c r="G16" s="21"/>
    </row>
    <row r="17" customFormat="false" ht="15" hidden="false" customHeight="false" outlineLevel="0" collapsed="false">
      <c r="A17" s="43" t="s">
        <v>372</v>
      </c>
      <c r="B17" s="44" t="s">
        <v>373</v>
      </c>
      <c r="C17" s="44" t="s">
        <v>388</v>
      </c>
      <c r="D17" s="43" t="n">
        <v>12</v>
      </c>
      <c r="E17" s="20"/>
      <c r="F17" s="20"/>
      <c r="G17" s="21"/>
    </row>
    <row r="18" customFormat="false" ht="15" hidden="false" customHeight="false" outlineLevel="0" collapsed="false">
      <c r="A18" s="43" t="s">
        <v>372</v>
      </c>
      <c r="B18" s="44" t="s">
        <v>373</v>
      </c>
      <c r="C18" s="44" t="s">
        <v>389</v>
      </c>
      <c r="D18" s="43" t="n">
        <v>12</v>
      </c>
      <c r="E18" s="20"/>
      <c r="F18" s="20"/>
      <c r="G18" s="21"/>
    </row>
    <row r="19" customFormat="false" ht="15" hidden="false" customHeight="false" outlineLevel="0" collapsed="false">
      <c r="A19" s="43" t="s">
        <v>372</v>
      </c>
      <c r="B19" s="44" t="s">
        <v>373</v>
      </c>
      <c r="C19" s="44" t="s">
        <v>390</v>
      </c>
      <c r="D19" s="43" t="n">
        <v>12</v>
      </c>
      <c r="E19" s="20"/>
      <c r="F19" s="20"/>
      <c r="G19" s="21"/>
    </row>
    <row r="20" customFormat="false" ht="15" hidden="false" customHeight="false" outlineLevel="0" collapsed="false">
      <c r="A20" s="43" t="s">
        <v>372</v>
      </c>
      <c r="B20" s="44" t="s">
        <v>391</v>
      </c>
      <c r="C20" s="44" t="s">
        <v>392</v>
      </c>
      <c r="D20" s="43" t="n">
        <v>12</v>
      </c>
      <c r="E20" s="20"/>
      <c r="F20" s="20"/>
      <c r="G20" s="21"/>
    </row>
    <row r="21" customFormat="false" ht="15" hidden="false" customHeight="false" outlineLevel="0" collapsed="false">
      <c r="A21" s="43" t="s">
        <v>372</v>
      </c>
      <c r="B21" s="44" t="s">
        <v>373</v>
      </c>
      <c r="C21" s="44" t="s">
        <v>393</v>
      </c>
      <c r="D21" s="43" t="n">
        <v>13</v>
      </c>
      <c r="E21" s="20"/>
      <c r="F21" s="20"/>
      <c r="G21" s="21"/>
    </row>
    <row r="22" customFormat="false" ht="15" hidden="false" customHeight="false" outlineLevel="0" collapsed="false">
      <c r="A22" s="43" t="s">
        <v>372</v>
      </c>
      <c r="B22" s="44" t="s">
        <v>373</v>
      </c>
      <c r="C22" s="44" t="s">
        <v>394</v>
      </c>
      <c r="D22" s="43" t="n">
        <v>13</v>
      </c>
      <c r="E22" s="20"/>
      <c r="F22" s="20"/>
      <c r="G22" s="21"/>
    </row>
    <row r="23" customFormat="false" ht="15" hidden="false" customHeight="false" outlineLevel="0" collapsed="false">
      <c r="A23" s="43" t="s">
        <v>372</v>
      </c>
      <c r="B23" s="44" t="s">
        <v>373</v>
      </c>
      <c r="C23" s="44" t="s">
        <v>395</v>
      </c>
      <c r="D23" s="43" t="n">
        <v>13</v>
      </c>
      <c r="E23" s="20"/>
      <c r="F23" s="20"/>
      <c r="G23" s="21"/>
    </row>
    <row r="24" customFormat="false" ht="15" hidden="false" customHeight="false" outlineLevel="0" collapsed="false">
      <c r="A24" s="43" t="s">
        <v>372</v>
      </c>
      <c r="B24" s="44" t="s">
        <v>391</v>
      </c>
      <c r="C24" s="44" t="s">
        <v>396</v>
      </c>
      <c r="D24" s="43" t="n">
        <v>14</v>
      </c>
      <c r="E24" s="20"/>
      <c r="F24" s="20"/>
      <c r="G24" s="21"/>
    </row>
    <row r="25" customFormat="false" ht="15" hidden="false" customHeight="false" outlineLevel="0" collapsed="false">
      <c r="A25" s="43" t="s">
        <v>372</v>
      </c>
      <c r="B25" s="44" t="s">
        <v>391</v>
      </c>
      <c r="C25" s="44" t="s">
        <v>397</v>
      </c>
      <c r="D25" s="43" t="n">
        <v>14</v>
      </c>
      <c r="E25" s="20"/>
      <c r="F25" s="20"/>
      <c r="G25" s="21"/>
    </row>
    <row r="26" customFormat="false" ht="15" hidden="false" customHeight="false" outlineLevel="0" collapsed="false">
      <c r="A26" s="43" t="s">
        <v>372</v>
      </c>
      <c r="B26" s="44" t="s">
        <v>391</v>
      </c>
      <c r="C26" s="44" t="s">
        <v>398</v>
      </c>
      <c r="D26" s="43" t="n">
        <v>14</v>
      </c>
      <c r="E26" s="20"/>
      <c r="F26" s="20"/>
      <c r="G26" s="21"/>
    </row>
    <row r="27" customFormat="false" ht="15" hidden="false" customHeight="false" outlineLevel="0" collapsed="false">
      <c r="A27" s="45" t="s">
        <v>399</v>
      </c>
      <c r="B27" s="46" t="s">
        <v>400</v>
      </c>
      <c r="C27" s="46" t="s">
        <v>401</v>
      </c>
      <c r="D27" s="45" t="n">
        <v>15</v>
      </c>
      <c r="E27" s="20"/>
      <c r="F27" s="20"/>
      <c r="G27" s="21"/>
    </row>
    <row r="28" customFormat="false" ht="15" hidden="false" customHeight="false" outlineLevel="0" collapsed="false">
      <c r="A28" s="45" t="s">
        <v>399</v>
      </c>
      <c r="B28" s="46" t="s">
        <v>400</v>
      </c>
      <c r="C28" s="46" t="s">
        <v>402</v>
      </c>
      <c r="D28" s="45" t="n">
        <v>15</v>
      </c>
      <c r="E28" s="20"/>
      <c r="F28" s="20"/>
      <c r="G28" s="21"/>
    </row>
    <row r="29" customFormat="false" ht="15" hidden="false" customHeight="false" outlineLevel="0" collapsed="false">
      <c r="A29" s="45" t="s">
        <v>399</v>
      </c>
      <c r="B29" s="46" t="s">
        <v>400</v>
      </c>
      <c r="C29" s="46" t="s">
        <v>403</v>
      </c>
      <c r="D29" s="45" t="n">
        <v>15</v>
      </c>
      <c r="E29" s="20"/>
      <c r="F29" s="20"/>
      <c r="G29" s="21"/>
    </row>
    <row r="30" customFormat="false" ht="15" hidden="false" customHeight="false" outlineLevel="0" collapsed="false">
      <c r="A30" s="45" t="s">
        <v>399</v>
      </c>
      <c r="B30" s="46" t="s">
        <v>400</v>
      </c>
      <c r="C30" s="46" t="s">
        <v>404</v>
      </c>
      <c r="D30" s="45" t="n">
        <v>15</v>
      </c>
      <c r="E30" s="20"/>
      <c r="F30" s="20"/>
      <c r="G30" s="21"/>
    </row>
    <row r="31" customFormat="false" ht="15" hidden="false" customHeight="false" outlineLevel="0" collapsed="false">
      <c r="A31" s="45" t="s">
        <v>399</v>
      </c>
      <c r="B31" s="46" t="s">
        <v>400</v>
      </c>
      <c r="C31" s="46" t="s">
        <v>405</v>
      </c>
      <c r="D31" s="45" t="n">
        <v>15</v>
      </c>
      <c r="E31" s="20"/>
      <c r="F31" s="20"/>
      <c r="G31" s="21"/>
    </row>
    <row r="32" customFormat="false" ht="15" hidden="false" customHeight="false" outlineLevel="0" collapsed="false">
      <c r="A32" s="45" t="s">
        <v>399</v>
      </c>
      <c r="B32" s="46" t="s">
        <v>400</v>
      </c>
      <c r="C32" s="46" t="s">
        <v>406</v>
      </c>
      <c r="D32" s="45" t="n">
        <v>15</v>
      </c>
      <c r="E32" s="20"/>
      <c r="F32" s="20"/>
      <c r="G32" s="21"/>
    </row>
    <row r="33" customFormat="false" ht="15" hidden="false" customHeight="false" outlineLevel="0" collapsed="false">
      <c r="A33" s="45" t="s">
        <v>399</v>
      </c>
      <c r="B33" s="46" t="s">
        <v>400</v>
      </c>
      <c r="C33" s="46" t="s">
        <v>407</v>
      </c>
      <c r="D33" s="45" t="n">
        <v>15</v>
      </c>
      <c r="E33" s="20"/>
      <c r="F33" s="20"/>
      <c r="G33" s="21"/>
    </row>
    <row r="34" customFormat="false" ht="15" hidden="false" customHeight="false" outlineLevel="0" collapsed="false">
      <c r="A34" s="45" t="s">
        <v>399</v>
      </c>
      <c r="B34" s="46" t="s">
        <v>400</v>
      </c>
      <c r="C34" s="46" t="s">
        <v>408</v>
      </c>
      <c r="D34" s="45" t="n">
        <v>15</v>
      </c>
      <c r="E34" s="20"/>
      <c r="F34" s="20"/>
      <c r="G34" s="21"/>
    </row>
    <row r="35" customFormat="false" ht="15" hidden="false" customHeight="false" outlineLevel="0" collapsed="false">
      <c r="A35" s="45" t="s">
        <v>399</v>
      </c>
      <c r="B35" s="46" t="s">
        <v>400</v>
      </c>
      <c r="C35" s="46" t="s">
        <v>409</v>
      </c>
      <c r="D35" s="45" t="n">
        <v>16</v>
      </c>
      <c r="E35" s="20"/>
      <c r="F35" s="20"/>
      <c r="G35" s="21"/>
    </row>
    <row r="36" customFormat="false" ht="15" hidden="false" customHeight="false" outlineLevel="0" collapsed="false">
      <c r="A36" s="45" t="s">
        <v>399</v>
      </c>
      <c r="B36" s="46" t="s">
        <v>400</v>
      </c>
      <c r="C36" s="46" t="s">
        <v>410</v>
      </c>
      <c r="D36" s="45" t="n">
        <v>16</v>
      </c>
      <c r="E36" s="20"/>
      <c r="F36" s="20"/>
      <c r="G36" s="21"/>
    </row>
    <row r="37" customFormat="false" ht="15" hidden="false" customHeight="false" outlineLevel="0" collapsed="false">
      <c r="A37" s="45" t="s">
        <v>399</v>
      </c>
      <c r="B37" s="46" t="s">
        <v>400</v>
      </c>
      <c r="C37" s="46" t="s">
        <v>411</v>
      </c>
      <c r="D37" s="45" t="n">
        <v>16</v>
      </c>
      <c r="E37" s="20"/>
      <c r="F37" s="20"/>
      <c r="G37" s="21"/>
    </row>
    <row r="38" customFormat="false" ht="15" hidden="false" customHeight="false" outlineLevel="0" collapsed="false">
      <c r="A38" s="45" t="s">
        <v>399</v>
      </c>
      <c r="B38" s="46" t="s">
        <v>400</v>
      </c>
      <c r="C38" s="46" t="s">
        <v>412</v>
      </c>
      <c r="D38" s="45" t="n">
        <v>16</v>
      </c>
      <c r="E38" s="20"/>
      <c r="F38" s="20"/>
      <c r="G38" s="21"/>
    </row>
    <row r="39" customFormat="false" ht="15" hidden="false" customHeight="false" outlineLevel="0" collapsed="false">
      <c r="A39" s="45" t="s">
        <v>399</v>
      </c>
      <c r="B39" s="46" t="s">
        <v>400</v>
      </c>
      <c r="C39" s="46" t="s">
        <v>413</v>
      </c>
      <c r="D39" s="45" t="n">
        <v>16</v>
      </c>
      <c r="E39" s="20"/>
      <c r="F39" s="20"/>
      <c r="G39" s="21"/>
    </row>
    <row r="40" customFormat="false" ht="15" hidden="false" customHeight="false" outlineLevel="0" collapsed="false">
      <c r="A40" s="45" t="s">
        <v>399</v>
      </c>
      <c r="B40" s="46" t="s">
        <v>400</v>
      </c>
      <c r="C40" s="46" t="s">
        <v>414</v>
      </c>
      <c r="D40" s="45" t="n">
        <v>16</v>
      </c>
      <c r="E40" s="20"/>
      <c r="F40" s="20"/>
      <c r="G40" s="21"/>
    </row>
    <row r="41" customFormat="false" ht="15" hidden="false" customHeight="false" outlineLevel="0" collapsed="false">
      <c r="A41" s="45" t="s">
        <v>399</v>
      </c>
      <c r="B41" s="46" t="s">
        <v>415</v>
      </c>
      <c r="C41" s="46" t="s">
        <v>416</v>
      </c>
      <c r="D41" s="45" t="n">
        <v>17</v>
      </c>
      <c r="E41" s="20"/>
      <c r="F41" s="20"/>
      <c r="G41" s="21"/>
    </row>
    <row r="42" customFormat="false" ht="15" hidden="false" customHeight="false" outlineLevel="0" collapsed="false">
      <c r="A42" s="45" t="s">
        <v>399</v>
      </c>
      <c r="B42" s="46" t="s">
        <v>415</v>
      </c>
      <c r="C42" s="46" t="s">
        <v>417</v>
      </c>
      <c r="D42" s="45" t="n">
        <v>17</v>
      </c>
      <c r="E42" s="20"/>
      <c r="F42" s="20"/>
      <c r="G42" s="21"/>
    </row>
    <row r="43" customFormat="false" ht="15" hidden="false" customHeight="false" outlineLevel="0" collapsed="false">
      <c r="A43" s="45" t="s">
        <v>399</v>
      </c>
      <c r="B43" s="46" t="s">
        <v>415</v>
      </c>
      <c r="C43" s="46" t="s">
        <v>418</v>
      </c>
      <c r="D43" s="45" t="n">
        <v>17</v>
      </c>
      <c r="E43" s="20"/>
      <c r="F43" s="20"/>
      <c r="G43" s="21"/>
    </row>
    <row r="44" customFormat="false" ht="15" hidden="false" customHeight="false" outlineLevel="0" collapsed="false">
      <c r="A44" s="45" t="s">
        <v>399</v>
      </c>
      <c r="B44" s="46" t="s">
        <v>415</v>
      </c>
      <c r="C44" s="46" t="s">
        <v>419</v>
      </c>
      <c r="D44" s="45" t="n">
        <v>17</v>
      </c>
      <c r="E44" s="20"/>
      <c r="F44" s="20"/>
      <c r="G44" s="21"/>
    </row>
    <row r="45" customFormat="false" ht="15" hidden="false" customHeight="false" outlineLevel="0" collapsed="false">
      <c r="A45" s="45" t="s">
        <v>399</v>
      </c>
      <c r="B45" s="46" t="s">
        <v>415</v>
      </c>
      <c r="C45" s="46" t="s">
        <v>420</v>
      </c>
      <c r="D45" s="45" t="n">
        <v>17</v>
      </c>
      <c r="E45" s="20"/>
      <c r="F45" s="20"/>
      <c r="G45" s="21"/>
    </row>
    <row r="46" customFormat="false" ht="15" hidden="false" customHeight="false" outlineLevel="0" collapsed="false">
      <c r="A46" s="45" t="s">
        <v>399</v>
      </c>
      <c r="B46" s="46" t="s">
        <v>415</v>
      </c>
      <c r="C46" s="46" t="s">
        <v>421</v>
      </c>
      <c r="D46" s="45" t="n">
        <v>17</v>
      </c>
      <c r="E46" s="20"/>
      <c r="F46" s="20"/>
      <c r="G46" s="21"/>
    </row>
    <row r="47" customFormat="false" ht="15" hidden="false" customHeight="false" outlineLevel="0" collapsed="false">
      <c r="A47" s="45" t="s">
        <v>399</v>
      </c>
      <c r="B47" s="46" t="s">
        <v>415</v>
      </c>
      <c r="C47" s="46" t="s">
        <v>422</v>
      </c>
      <c r="D47" s="45" t="n">
        <v>17</v>
      </c>
      <c r="E47" s="20"/>
      <c r="F47" s="20"/>
      <c r="G47" s="21"/>
    </row>
    <row r="48" customFormat="false" ht="15" hidden="false" customHeight="false" outlineLevel="0" collapsed="false">
      <c r="A48" s="45" t="s">
        <v>399</v>
      </c>
      <c r="B48" s="46" t="s">
        <v>415</v>
      </c>
      <c r="C48" s="46" t="s">
        <v>423</v>
      </c>
      <c r="D48" s="45" t="n">
        <v>17</v>
      </c>
      <c r="E48" s="20"/>
      <c r="F48" s="20"/>
      <c r="G48" s="21"/>
    </row>
    <row r="49" customFormat="false" ht="15" hidden="false" customHeight="false" outlineLevel="0" collapsed="false">
      <c r="A49" s="45" t="s">
        <v>399</v>
      </c>
      <c r="B49" s="46" t="s">
        <v>415</v>
      </c>
      <c r="C49" s="46" t="s">
        <v>424</v>
      </c>
      <c r="D49" s="45" t="n">
        <v>18</v>
      </c>
      <c r="E49" s="20"/>
      <c r="F49" s="20"/>
      <c r="G49" s="21"/>
    </row>
    <row r="50" customFormat="false" ht="15" hidden="false" customHeight="false" outlineLevel="0" collapsed="false">
      <c r="A50" s="45" t="s">
        <v>399</v>
      </c>
      <c r="B50" s="46" t="s">
        <v>415</v>
      </c>
      <c r="C50" s="46" t="s">
        <v>425</v>
      </c>
      <c r="D50" s="45" t="n">
        <v>18</v>
      </c>
      <c r="E50" s="20"/>
      <c r="F50" s="20"/>
      <c r="G50" s="21"/>
    </row>
    <row r="51" customFormat="false" ht="15" hidden="false" customHeight="false" outlineLevel="0" collapsed="false">
      <c r="A51" s="45" t="s">
        <v>399</v>
      </c>
      <c r="B51" s="46" t="s">
        <v>415</v>
      </c>
      <c r="C51" s="46" t="s">
        <v>426</v>
      </c>
      <c r="D51" s="45" t="n">
        <v>18</v>
      </c>
      <c r="E51" s="20"/>
      <c r="F51" s="20"/>
      <c r="G51" s="21"/>
    </row>
    <row r="52" customFormat="false" ht="15" hidden="false" customHeight="false" outlineLevel="0" collapsed="false">
      <c r="A52" s="45" t="s">
        <v>399</v>
      </c>
      <c r="B52" s="46" t="s">
        <v>415</v>
      </c>
      <c r="C52" s="46" t="s">
        <v>427</v>
      </c>
      <c r="D52" s="45" t="n">
        <v>18</v>
      </c>
      <c r="E52" s="20"/>
      <c r="F52" s="20"/>
      <c r="G52" s="21"/>
    </row>
    <row r="53" customFormat="false" ht="15" hidden="false" customHeight="false" outlineLevel="0" collapsed="false">
      <c r="A53" s="45" t="s">
        <v>399</v>
      </c>
      <c r="B53" s="46" t="s">
        <v>415</v>
      </c>
      <c r="C53" s="46" t="s">
        <v>428</v>
      </c>
      <c r="D53" s="45" t="n">
        <v>18</v>
      </c>
      <c r="E53" s="20"/>
      <c r="F53" s="20"/>
      <c r="G53" s="21"/>
    </row>
    <row r="54" customFormat="false" ht="15" hidden="false" customHeight="false" outlineLevel="0" collapsed="false">
      <c r="A54" s="45" t="s">
        <v>399</v>
      </c>
      <c r="B54" s="46" t="s">
        <v>415</v>
      </c>
      <c r="C54" s="46" t="s">
        <v>429</v>
      </c>
      <c r="D54" s="45" t="n">
        <v>18</v>
      </c>
      <c r="E54" s="20"/>
      <c r="F54" s="20"/>
      <c r="G54" s="21"/>
    </row>
    <row r="55" customFormat="false" ht="15" hidden="false" customHeight="false" outlineLevel="0" collapsed="false">
      <c r="A55" s="45" t="s">
        <v>399</v>
      </c>
      <c r="B55" s="46" t="s">
        <v>415</v>
      </c>
      <c r="C55" s="46" t="s">
        <v>430</v>
      </c>
      <c r="D55" s="45" t="n">
        <v>18</v>
      </c>
      <c r="E55" s="20"/>
      <c r="F55" s="20"/>
      <c r="G55" s="21"/>
    </row>
    <row r="56" customFormat="false" ht="15" hidden="false" customHeight="false" outlineLevel="0" collapsed="false">
      <c r="A56" s="45" t="s">
        <v>399</v>
      </c>
      <c r="B56" s="46" t="s">
        <v>415</v>
      </c>
      <c r="C56" s="46" t="s">
        <v>431</v>
      </c>
      <c r="D56" s="45" t="n">
        <v>19</v>
      </c>
      <c r="E56" s="20"/>
      <c r="F56" s="20"/>
      <c r="G56" s="21"/>
    </row>
    <row r="57" customFormat="false" ht="15" hidden="false" customHeight="false" outlineLevel="0" collapsed="false">
      <c r="A57" s="45" t="s">
        <v>399</v>
      </c>
      <c r="B57" s="46" t="s">
        <v>415</v>
      </c>
      <c r="C57" s="46" t="s">
        <v>432</v>
      </c>
      <c r="D57" s="45" t="n">
        <v>19</v>
      </c>
      <c r="E57" s="20"/>
      <c r="F57" s="20"/>
      <c r="G57" s="21"/>
    </row>
    <row r="58" customFormat="false" ht="15" hidden="false" customHeight="false" outlineLevel="0" collapsed="false">
      <c r="A58" s="45" t="s">
        <v>399</v>
      </c>
      <c r="B58" s="46" t="s">
        <v>415</v>
      </c>
      <c r="C58" s="46" t="s">
        <v>433</v>
      </c>
      <c r="D58" s="45" t="n">
        <v>19</v>
      </c>
      <c r="E58" s="20"/>
      <c r="F58" s="20"/>
      <c r="G58" s="21"/>
    </row>
    <row r="59" customFormat="false" ht="15" hidden="false" customHeight="false" outlineLevel="0" collapsed="false">
      <c r="A59" s="45" t="s">
        <v>399</v>
      </c>
      <c r="B59" s="46" t="s">
        <v>415</v>
      </c>
      <c r="C59" s="46" t="s">
        <v>434</v>
      </c>
      <c r="D59" s="45" t="n">
        <v>19</v>
      </c>
      <c r="E59" s="20"/>
      <c r="F59" s="20"/>
      <c r="G59" s="21"/>
    </row>
    <row r="60" customFormat="false" ht="15" hidden="false" customHeight="false" outlineLevel="0" collapsed="false">
      <c r="A60" s="45" t="s">
        <v>399</v>
      </c>
      <c r="B60" s="46" t="s">
        <v>415</v>
      </c>
      <c r="C60" s="46" t="s">
        <v>435</v>
      </c>
      <c r="D60" s="45" t="n">
        <v>19</v>
      </c>
      <c r="E60" s="20"/>
      <c r="F60" s="20"/>
      <c r="G60" s="21"/>
    </row>
    <row r="61" customFormat="false" ht="15" hidden="false" customHeight="false" outlineLevel="0" collapsed="false">
      <c r="A61" s="45" t="s">
        <v>399</v>
      </c>
      <c r="B61" s="46" t="s">
        <v>415</v>
      </c>
      <c r="C61" s="46" t="s">
        <v>436</v>
      </c>
      <c r="D61" s="45" t="n">
        <v>19</v>
      </c>
      <c r="E61" s="20"/>
      <c r="F61" s="20"/>
      <c r="G61" s="21"/>
    </row>
    <row r="62" customFormat="false" ht="15" hidden="false" customHeight="false" outlineLevel="0" collapsed="false">
      <c r="A62" s="45" t="s">
        <v>399</v>
      </c>
      <c r="B62" s="46" t="s">
        <v>437</v>
      </c>
      <c r="C62" s="46" t="s">
        <v>438</v>
      </c>
      <c r="D62" s="45" t="n">
        <v>20</v>
      </c>
      <c r="E62" s="20"/>
      <c r="F62" s="20"/>
      <c r="G62" s="21"/>
    </row>
    <row r="63" customFormat="false" ht="15" hidden="false" customHeight="false" outlineLevel="0" collapsed="false">
      <c r="A63" s="45" t="s">
        <v>399</v>
      </c>
      <c r="B63" s="46" t="s">
        <v>437</v>
      </c>
      <c r="C63" s="46" t="s">
        <v>439</v>
      </c>
      <c r="D63" s="45" t="n">
        <v>20</v>
      </c>
      <c r="E63" s="20"/>
      <c r="F63" s="20"/>
      <c r="G63" s="21"/>
    </row>
    <row r="64" customFormat="false" ht="15" hidden="false" customHeight="false" outlineLevel="0" collapsed="false">
      <c r="A64" s="45" t="s">
        <v>399</v>
      </c>
      <c r="B64" s="46" t="s">
        <v>437</v>
      </c>
      <c r="C64" s="46" t="s">
        <v>440</v>
      </c>
      <c r="D64" s="45" t="n">
        <v>20</v>
      </c>
      <c r="E64" s="20"/>
      <c r="F64" s="20"/>
      <c r="G64" s="21"/>
    </row>
    <row r="65" customFormat="false" ht="15" hidden="false" customHeight="false" outlineLevel="0" collapsed="false">
      <c r="A65" s="45" t="s">
        <v>399</v>
      </c>
      <c r="B65" s="46" t="s">
        <v>437</v>
      </c>
      <c r="C65" s="46" t="s">
        <v>441</v>
      </c>
      <c r="D65" s="45" t="n">
        <v>20</v>
      </c>
      <c r="E65" s="20"/>
      <c r="F65" s="20"/>
      <c r="G65" s="21"/>
    </row>
    <row r="66" customFormat="false" ht="15" hidden="false" customHeight="false" outlineLevel="0" collapsed="false">
      <c r="A66" s="45" t="s">
        <v>399</v>
      </c>
      <c r="B66" s="46" t="s">
        <v>437</v>
      </c>
      <c r="C66" s="46" t="s">
        <v>442</v>
      </c>
      <c r="D66" s="45" t="n">
        <v>20</v>
      </c>
      <c r="E66" s="20"/>
      <c r="F66" s="20"/>
      <c r="G66" s="21"/>
    </row>
    <row r="67" customFormat="false" ht="15" hidden="false" customHeight="false" outlineLevel="0" collapsed="false">
      <c r="A67" s="45" t="s">
        <v>399</v>
      </c>
      <c r="B67" s="46" t="s">
        <v>437</v>
      </c>
      <c r="C67" s="46" t="s">
        <v>443</v>
      </c>
      <c r="D67" s="45" t="n">
        <v>20</v>
      </c>
      <c r="E67" s="20"/>
      <c r="F67" s="20"/>
      <c r="G67" s="21"/>
    </row>
    <row r="68" customFormat="false" ht="15" hidden="false" customHeight="false" outlineLevel="0" collapsed="false">
      <c r="A68" s="45" t="s">
        <v>399</v>
      </c>
      <c r="B68" s="46" t="s">
        <v>437</v>
      </c>
      <c r="C68" s="46" t="s">
        <v>444</v>
      </c>
      <c r="D68" s="45" t="n">
        <v>20</v>
      </c>
      <c r="E68" s="20"/>
      <c r="F68" s="20"/>
      <c r="G68" s="21"/>
    </row>
    <row r="69" customFormat="false" ht="15" hidden="false" customHeight="false" outlineLevel="0" collapsed="false">
      <c r="A69" s="45" t="s">
        <v>399</v>
      </c>
      <c r="B69" s="46" t="s">
        <v>437</v>
      </c>
      <c r="C69" s="46" t="s">
        <v>445</v>
      </c>
      <c r="D69" s="45" t="n">
        <v>20</v>
      </c>
      <c r="E69" s="20"/>
      <c r="F69" s="20"/>
      <c r="G69" s="21"/>
    </row>
    <row r="70" customFormat="false" ht="15" hidden="false" customHeight="false" outlineLevel="0" collapsed="false">
      <c r="A70" s="45" t="s">
        <v>399</v>
      </c>
      <c r="B70" s="46" t="s">
        <v>437</v>
      </c>
      <c r="C70" s="46" t="s">
        <v>446</v>
      </c>
      <c r="D70" s="45" t="n">
        <v>20</v>
      </c>
      <c r="E70" s="20"/>
      <c r="F70" s="20"/>
      <c r="G70" s="21"/>
    </row>
    <row r="71" customFormat="false" ht="15" hidden="false" customHeight="false" outlineLevel="0" collapsed="false">
      <c r="A71" s="45" t="s">
        <v>399</v>
      </c>
      <c r="B71" s="46" t="s">
        <v>437</v>
      </c>
      <c r="C71" s="46" t="s">
        <v>447</v>
      </c>
      <c r="D71" s="45" t="n">
        <v>20</v>
      </c>
      <c r="E71" s="20"/>
      <c r="F71" s="20"/>
      <c r="G71" s="21"/>
    </row>
    <row r="72" customFormat="false" ht="15" hidden="false" customHeight="false" outlineLevel="0" collapsed="false">
      <c r="A72" s="47" t="s">
        <v>448</v>
      </c>
      <c r="B72" s="48" t="s">
        <v>391</v>
      </c>
      <c r="C72" s="48" t="s">
        <v>449</v>
      </c>
      <c r="D72" s="47" t="n">
        <v>15</v>
      </c>
      <c r="E72" s="20"/>
      <c r="F72" s="20"/>
      <c r="G72" s="21"/>
    </row>
    <row r="73" customFormat="false" ht="15" hidden="false" customHeight="false" outlineLevel="0" collapsed="false">
      <c r="A73" s="47" t="s">
        <v>448</v>
      </c>
      <c r="B73" s="48" t="s">
        <v>391</v>
      </c>
      <c r="C73" s="48" t="s">
        <v>450</v>
      </c>
      <c r="D73" s="47" t="n">
        <v>16</v>
      </c>
      <c r="E73" s="20"/>
      <c r="F73" s="20"/>
      <c r="G73" s="21"/>
    </row>
    <row r="74" customFormat="false" ht="15" hidden="false" customHeight="false" outlineLevel="0" collapsed="false">
      <c r="A74" s="47" t="s">
        <v>448</v>
      </c>
      <c r="B74" s="48" t="s">
        <v>391</v>
      </c>
      <c r="C74" s="48" t="s">
        <v>451</v>
      </c>
      <c r="D74" s="47" t="n">
        <v>17</v>
      </c>
      <c r="E74" s="20"/>
      <c r="F74" s="20"/>
      <c r="G74" s="21"/>
    </row>
    <row r="75" customFormat="false" ht="15" hidden="false" customHeight="false" outlineLevel="0" collapsed="false">
      <c r="A75" s="47" t="s">
        <v>448</v>
      </c>
      <c r="B75" s="48" t="s">
        <v>391</v>
      </c>
      <c r="C75" s="48" t="s">
        <v>452</v>
      </c>
      <c r="D75" s="47" t="n">
        <v>20</v>
      </c>
      <c r="E75" s="20"/>
      <c r="F75" s="20"/>
      <c r="G75" s="21"/>
    </row>
    <row r="76" customFormat="false" ht="15" hidden="false" customHeight="false" outlineLevel="0" collapsed="false">
      <c r="A76" s="47" t="s">
        <v>448</v>
      </c>
      <c r="B76" s="48" t="s">
        <v>391</v>
      </c>
      <c r="C76" s="48" t="s">
        <v>453</v>
      </c>
      <c r="D76" s="47" t="n">
        <v>21</v>
      </c>
      <c r="E76" s="20"/>
      <c r="F76" s="20"/>
      <c r="G76" s="21"/>
    </row>
    <row r="77" customFormat="false" ht="15" hidden="false" customHeight="false" outlineLevel="0" collapsed="false">
      <c r="A77" s="47" t="s">
        <v>448</v>
      </c>
      <c r="B77" s="48" t="s">
        <v>391</v>
      </c>
      <c r="C77" s="48" t="s">
        <v>454</v>
      </c>
      <c r="D77" s="47" t="n">
        <v>21</v>
      </c>
      <c r="E77" s="20"/>
      <c r="F77" s="20"/>
      <c r="G77" s="21"/>
    </row>
    <row r="78" customFormat="false" ht="15" hidden="false" customHeight="false" outlineLevel="0" collapsed="false">
      <c r="A78" s="47" t="s">
        <v>448</v>
      </c>
      <c r="B78" s="48" t="s">
        <v>391</v>
      </c>
      <c r="C78" s="48" t="s">
        <v>455</v>
      </c>
      <c r="D78" s="47" t="n">
        <v>21</v>
      </c>
      <c r="E78" s="20"/>
      <c r="F78" s="20"/>
      <c r="G78" s="21"/>
    </row>
    <row r="79" customFormat="false" ht="15" hidden="false" customHeight="false" outlineLevel="0" collapsed="false">
      <c r="A79" s="47" t="s">
        <v>456</v>
      </c>
      <c r="B79" s="48" t="s">
        <v>457</v>
      </c>
      <c r="C79" s="48" t="s">
        <v>458</v>
      </c>
      <c r="D79" s="47" t="n">
        <v>19</v>
      </c>
      <c r="E79" s="20"/>
      <c r="F79" s="20"/>
      <c r="G79" s="21"/>
    </row>
    <row r="80" customFormat="false" ht="15" hidden="false" customHeight="false" outlineLevel="0" collapsed="false">
      <c r="C80" s="24" t="s">
        <v>459</v>
      </c>
      <c r="F80" s="36" t="str">
        <f aca="false">COUNTIF($F$3:$F$79,"Y")&amp;" / 77"</f>
        <v>0 / 77</v>
      </c>
    </row>
  </sheetData>
  <autoFilter ref="A2:G79"/>
  <mergeCells count="1">
    <mergeCell ref="A1:G1"/>
  </mergeCells>
  <conditionalFormatting sqref="F3:F79">
    <cfRule type="cellIs" priority="2" operator="equal" aboveAverage="0" equalAverage="0" bottom="0" percent="0" rank="0" text="" dxfId="8">
      <formula>"Y"</formula>
    </cfRule>
  </conditionalFormatting>
  <dataValidations count="2">
    <dataValidation allowBlank="true" errorStyle="stop" operator="between" showDropDown="false" showErrorMessage="false" showInputMessage="false" sqref="E3:E79" type="list">
      <formula1>"Y,N"</formula1>
      <formula2>0</formula2>
    </dataValidation>
    <dataValidation allowBlank="true" errorStyle="stop" operator="between" showDropDown="false" showErrorMessage="false" showInputMessage="false" sqref="F3:F7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2026-07-30T18:04:26Z</dcterms:created>
  <dc:creator>openpyxl</dc:creator>
  <dc:description/>
  <dc:language>en-US</dc:language>
  <cp:lastModifiedBy/>
  <dcterms:modified xsi:type="dcterms:W3CDTF">2026-07-30T18:04:27Z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